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name="VPO's" sheetId="1" state="visible" r:id="rId1"/>
    <sheet name="Cobia Cove Appartments" sheetId="2" state="visible" r:id="rId2"/>
    <sheet name="Willow Way Apts" sheetId="3" state="visible" r:id="rId3"/>
  </sheets>
  <externalReferences>
    <externalReference r:id="rId4"/>
    <externalReference r:id="rId5"/>
  </externalReferences>
  <definedNames>
    <definedName name="InwardEntry">#REF!</definedName>
    <definedName name="IssueEntry">#REF!</definedName>
    <definedName name="Location">#REF!</definedName>
    <definedName name="Lumber">#REF!</definedName>
    <definedName name="Plywood">#REF!</definedName>
    <definedName name="Select">#REF!</definedName>
    <definedName name="Supplier">#REF!</definedName>
    <definedName name="Vendors">#REF!</definedName>
    <definedName name="InwardEntry" localSheetId="0">#REF!</definedName>
    <definedName name="IssueEntry" localSheetId="0">#REF!</definedName>
    <definedName name="Location" localSheetId="0">#REF!</definedName>
    <definedName name="Lumber" localSheetId="0">#REF!</definedName>
    <definedName name="Plywood" localSheetId="0">#REF!</definedName>
    <definedName name="Select" localSheetId="0">#REF!</definedName>
    <definedName name="Supplier" localSheetId="0">#REF!</definedName>
    <definedName name="Vendors" localSheetId="0">#REF!</definedName>
    <definedName name="_xlnm._FilterDatabase" localSheetId="0" hidden="1">'VPO''s'!$A$39:$K$116</definedName>
    <definedName name="InwardEntry" localSheetId="1">#REF!</definedName>
    <definedName name="IssueEntry" localSheetId="1">#REF!</definedName>
    <definedName name="Location" localSheetId="1">#REF!</definedName>
    <definedName name="Lumber" localSheetId="1">#REF!</definedName>
    <definedName name="Plywood" localSheetId="1">#REF!</definedName>
    <definedName name="Select" localSheetId="1">#REF!</definedName>
    <definedName name="Supplier" localSheetId="1">#REF!</definedName>
    <definedName name="Vendors" localSheetId="1">#REF!</definedName>
    <definedName name="_xlnm._FilterDatabase" localSheetId="1" hidden="1">'Cobia Cove Appartments'!$A$2:$EN$2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[$$-409]* #,##0.0_);_([$$-409]* \(#,##0.0\);_([$$-409]* &quot;-&quot;??_);_(@_)"/>
    <numFmt numFmtId="165" formatCode="_([$$-409]* #,##0.00_);_([$$-409]* \(#,##0.00\);_([$$-409]* &quot;-&quot;??_);_(@_)"/>
    <numFmt numFmtId="166" formatCode="_([$$-409]* #,##0.000_);_([$$-409]* \(#,##0.000\);_([$$-409]* &quot;-&quot;???_);_(@_)"/>
    <numFmt numFmtId="167" formatCode="0.00000"/>
    <numFmt numFmtId="168" formatCode="_([$$-409]* #,##0.0000000_);_([$$-409]* \(#,##0.0000000\);_([$$-409]* &quot;-&quot;??_);_(@_)"/>
    <numFmt numFmtId="169" formatCode="yyyy-mm-dd h:mm:ss"/>
    <numFmt numFmtId="170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olor theme="1"/>
      <sz val="10"/>
    </font>
    <font>
      <name val="Times New Roman"/>
      <color rgb="FFFF0000"/>
      <sz val="9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b val="1"/>
      <color theme="1"/>
      <sz val="10"/>
    </font>
    <font>
      <name val="Times New Roman"/>
      <sz val="9"/>
    </font>
    <font>
      <name val="Times New Roman"/>
      <color rgb="FF000000"/>
      <sz val="9"/>
    </font>
    <font>
      <name val="Times New Roman"/>
      <b val="1"/>
      <color theme="1"/>
      <sz val="18"/>
    </font>
    <font>
      <name val="Times New Roman"/>
      <color rgb="FF000000"/>
      <sz val="10"/>
    </font>
    <font>
      <name val="Times New Roman"/>
      <sz val="10"/>
    </font>
    <font>
      <name val="Times New Roman"/>
      <b val="1"/>
      <color rgb="FF000000"/>
      <sz val="9"/>
    </font>
    <font>
      <name val="Times New Roman"/>
      <b val="1"/>
      <sz val="9"/>
    </font>
  </fonts>
  <fills count="19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F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AF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1" fillId="0" borderId="0"/>
    <xf numFmtId="170" fontId="1" fillId="0" borderId="0"/>
  </cellStyleXfs>
  <cellXfs count="38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7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9" fontId="5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9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9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4" fontId="6" fillId="0" borderId="20" applyAlignment="1" pivotButton="0" quotePrefix="0" xfId="0">
      <alignment horizontal="center" vertical="center"/>
    </xf>
    <xf numFmtId="14" fontId="6" fillId="0" borderId="24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11" fontId="5" fillId="0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9" fontId="5" fillId="18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5" fontId="5" fillId="18" borderId="2" applyAlignment="1" pivotButton="0" quotePrefix="0" xfId="0">
      <alignment horizontal="center" vertical="center"/>
    </xf>
    <xf numFmtId="1" fontId="5" fillId="18" borderId="2" applyAlignment="1" pivotButton="0" quotePrefix="0" xfId="0">
      <alignment horizontal="center" vertical="center"/>
    </xf>
    <xf numFmtId="165" fontId="9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9" fontId="3" fillId="6" borderId="0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165" fontId="5" fillId="18" borderId="7" applyAlignment="1" pivotButton="0" quotePrefix="0" xfId="0">
      <alignment horizontal="center" vertical="center"/>
    </xf>
    <xf numFmtId="165" fontId="5" fillId="18" borderId="3" applyAlignment="1" pivotButton="0" quotePrefix="0" xfId="0">
      <alignment horizontal="center" vertical="center"/>
    </xf>
    <xf numFmtId="165" fontId="5" fillId="18" borderId="9" applyAlignment="1" pivotButton="0" quotePrefix="0" xfId="0">
      <alignment horizontal="center" vertical="center"/>
    </xf>
    <xf numFmtId="165" fontId="5" fillId="18" borderId="5" applyAlignment="1" pivotButton="0" quotePrefix="0" xfId="0">
      <alignment horizontal="center" vertical="center"/>
    </xf>
    <xf numFmtId="9" fontId="5" fillId="0" borderId="20" applyAlignment="1" pivotButton="0" quotePrefix="0" xfId="0">
      <alignment horizontal="center" vertical="center"/>
    </xf>
    <xf numFmtId="165" fontId="5" fillId="0" borderId="2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14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165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4" fontId="0" fillId="6" borderId="2" applyAlignment="1" pivotButton="0" quotePrefix="0" xfId="0">
      <alignment horizontal="center" vertic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5" fontId="0" fillId="0" borderId="2" pivotButton="0" quotePrefix="0" xfId="0"/>
    <xf numFmtId="0" fontId="0" fillId="6" borderId="2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165" fontId="0" fillId="0" borderId="5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6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0" fontId="0" fillId="0" borderId="20" pivotButton="0" quotePrefix="0" xfId="0"/>
    <xf numFmtId="165" fontId="0" fillId="0" borderId="1" pivotButton="0" quotePrefix="0" xfId="0"/>
    <xf numFmtId="14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65" fontId="0" fillId="6" borderId="0" pivotButton="0" quotePrefix="0" xfId="0"/>
    <xf numFmtId="0" fontId="0" fillId="18" borderId="5" applyAlignment="1" pivotButton="0" quotePrefix="0" xfId="0">
      <alignment horizontal="center" vertical="center" wrapText="1"/>
    </xf>
    <xf numFmtId="14" fontId="0" fillId="6" borderId="7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0" fillId="0" borderId="5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 indent="1"/>
    </xf>
    <xf numFmtId="0" fontId="0" fillId="0" borderId="20" applyAlignment="1" pivotButton="0" quotePrefix="0" xfId="0">
      <alignment horizontal="center" vertical="center" wrapText="1" indent="1"/>
    </xf>
    <xf numFmtId="14" fontId="0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18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0" fontId="0" fillId="6" borderId="21" applyAlignment="1" pivotButton="0" quotePrefix="0" xfId="0">
      <alignment horizontal="center" vertical="center"/>
    </xf>
    <xf numFmtId="14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8" borderId="5" applyAlignment="1" pivotButton="0" quotePrefix="0" xfId="0">
      <alignment horizontal="center" vertical="center" wrapText="1"/>
    </xf>
    <xf numFmtId="0" fontId="0" fillId="18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 indent="1"/>
    </xf>
    <xf numFmtId="0" fontId="0" fillId="6" borderId="7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 inden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 wrapText="1"/>
    </xf>
    <xf numFmtId="0" fontId="14" fillId="10" borderId="22" applyAlignment="1" pivotButton="0" quotePrefix="0" xfId="0">
      <alignment horizontal="center" vertical="center" wrapText="1"/>
    </xf>
    <xf numFmtId="0" fontId="13" fillId="11" borderId="22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165" fontId="13" fillId="13" borderId="22" applyAlignment="1" pivotButton="0" quotePrefix="0" xfId="0">
      <alignment horizontal="center" vertical="center"/>
    </xf>
    <xf numFmtId="164" fontId="13" fillId="13" borderId="22" applyAlignment="1" pivotButton="0" quotePrefix="0" xfId="0">
      <alignment horizontal="center" vertical="center"/>
    </xf>
    <xf numFmtId="9" fontId="13" fillId="13" borderId="2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center" vertical="center" wrapText="1"/>
    </xf>
    <xf numFmtId="165" fontId="14" fillId="15" borderId="5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5" borderId="5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 wrapText="1"/>
    </xf>
    <xf numFmtId="0" fontId="13" fillId="15" borderId="5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165" fontId="0" fillId="18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 indent="1"/>
    </xf>
    <xf numFmtId="165" fontId="0" fillId="0" borderId="2" applyAlignment="1" pivotButton="0" quotePrefix="0" xfId="0">
      <alignment horizontal="center"/>
    </xf>
    <xf numFmtId="0" fontId="0" fillId="18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8" pivotButton="0" quotePrefix="0" xfId="0"/>
    <xf numFmtId="0" fontId="0" fillId="0" borderId="27" pivotButton="0" quotePrefix="0" xfId="0"/>
    <xf numFmtId="0" fontId="10" fillId="3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7" pivotButton="0" quotePrefix="0" xfId="0"/>
    <xf numFmtId="0" fontId="10" fillId="3" borderId="2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  <xf numFmtId="169" fontId="0" fillId="0" borderId="0" pivotButton="0" quotePrefix="0" xfId="0"/>
    <xf numFmtId="169" fontId="0" fillId="0" borderId="0" pivotButton="0" quotePrefix="0" xfId="0"/>
  </cellXfs>
  <cellStyles count="2">
    <cellStyle name="Normal" xfId="0" builtinId="0"/>
    <cellStyle name="Currenc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Rohith | Capsol</author>
  </authors>
  <commentList>
    <comment ref="D1" authorId="0" shapeId="0">
      <text>
        <t>Rohith | Capsol:
Mockupwall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10).xlsm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9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terial"/>
      <sheetName val="NTP (2)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obia Cove Appartments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/>
      <sheetData sheetId="1"/>
      <sheetData sheetId="2">
        <row r="11">
          <cell r="H11">
            <v>1175823.1152750002</v>
          </cell>
        </row>
      </sheetData>
      <sheetData sheetId="3"/>
      <sheetData sheetId="4"/>
      <sheetData sheetId="5"/>
      <sheetData sheetId="6"/>
      <sheetData sheetId="7"/>
      <sheetData sheetId="8">
        <row r="825">
          <cell r="G825">
            <v>308624.15000000008</v>
          </cell>
          <cell r="I825">
            <v>330227.90000000008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terial"/>
      <sheetName val="NTP (2)"/>
      <sheetName val="Cobia Cove Appartments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40">
          <cell r="I740">
            <v>88636.75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118"/>
  <sheetViews>
    <sheetView tabSelected="1" workbookViewId="0">
      <selection activeCell="I20" sqref="I20:I23"/>
    </sheetView>
  </sheetViews>
  <sheetFormatPr baseColWidth="8" defaultRowHeight="14.25"/>
  <cols>
    <col width="12" bestFit="1" customWidth="1" style="178" min="1" max="1"/>
    <col width="11.73046875" bestFit="1" customWidth="1" style="178" min="2" max="2"/>
    <col width="9.1328125" bestFit="1" customWidth="1" style="178" min="3" max="3"/>
    <col width="47.1328125" bestFit="1" customWidth="1" style="178" min="4" max="4"/>
    <col width="10.73046875" customWidth="1" style="178" min="5" max="5"/>
    <col width="14.86328125" customWidth="1" style="178" min="6" max="6"/>
    <col width="18" customWidth="1" style="178" min="7" max="7"/>
    <col width="19.3984375" customWidth="1" style="178" min="8" max="8"/>
    <col width="20.73046875" customWidth="1" style="178" min="9" max="9"/>
    <col width="20.265625" customWidth="1" min="10" max="10"/>
    <col width="25.3984375" bestFit="1" customWidth="1" min="11" max="11"/>
    <col width="53.265625" customWidth="1" min="12" max="12"/>
    <col width="14.1328125" customWidth="1" min="13" max="13"/>
    <col width="15.86328125" customWidth="1" style="177" min="14" max="14"/>
    <col width="17.59765625" customWidth="1" style="177" min="15" max="15"/>
    <col width="33.3984375" bestFit="1" customWidth="1" min="16" max="16"/>
    <col width="15.59765625" customWidth="1" min="17" max="18"/>
    <col width="12.1328125" bestFit="1" customWidth="1" min="19" max="19"/>
    <col width="11.1328125" bestFit="1" customWidth="1" style="177" min="20" max="20"/>
    <col width="12.73046875" bestFit="1" customWidth="1" style="177" min="21" max="21"/>
  </cols>
  <sheetData>
    <row r="5">
      <c r="A5" s="358" t="inlineStr">
        <is>
          <t>VPO for Willow Way Village</t>
        </is>
      </c>
      <c r="B5" s="359" t="n"/>
      <c r="C5" s="359" t="n"/>
      <c r="D5" s="359" t="n"/>
      <c r="E5" s="359" t="n"/>
      <c r="F5" s="359" t="n"/>
      <c r="G5" s="359" t="n"/>
      <c r="H5" s="359" t="n"/>
      <c r="I5" s="359" t="n"/>
      <c r="J5" s="359" t="n"/>
      <c r="K5" s="359" t="n"/>
      <c r="L5" s="360" t="n"/>
    </row>
    <row r="6">
      <c r="A6" s="197" t="n"/>
      <c r="B6" s="197" t="n"/>
      <c r="C6" s="197" t="n"/>
      <c r="D6" s="197" t="n"/>
      <c r="E6" s="197" t="n"/>
      <c r="F6" s="197" t="n"/>
      <c r="G6" s="197" t="n"/>
      <c r="H6" s="197" t="n"/>
      <c r="I6" s="197" t="n"/>
      <c r="J6" s="179" t="n"/>
      <c r="K6" s="179" t="n"/>
      <c r="L6" s="179" t="n"/>
    </row>
    <row r="7">
      <c r="A7" s="228" t="inlineStr">
        <is>
          <t>VPO Date</t>
        </is>
      </c>
      <c r="B7" s="228" t="inlineStr">
        <is>
          <t>Ordered Qty</t>
        </is>
      </c>
      <c r="C7" s="228" t="inlineStr">
        <is>
          <t>UOM</t>
        </is>
      </c>
      <c r="D7" s="228" t="inlineStr">
        <is>
          <t>Description</t>
        </is>
      </c>
      <c r="E7" s="228" t="inlineStr">
        <is>
          <t>Footage</t>
        </is>
      </c>
      <c r="F7" s="228" t="inlineStr">
        <is>
          <t>Price</t>
        </is>
      </c>
      <c r="G7" s="228" t="inlineStr">
        <is>
          <t>Amount</t>
        </is>
      </c>
      <c r="H7" s="228" t="inlineStr">
        <is>
          <t>Tax</t>
        </is>
      </c>
      <c r="I7" s="228" t="inlineStr">
        <is>
          <t>Total Amount</t>
        </is>
      </c>
      <c r="J7" s="229" t="inlineStr">
        <is>
          <t>CO#</t>
        </is>
      </c>
      <c r="K7" s="229" t="inlineStr">
        <is>
          <t>CO numbers</t>
        </is>
      </c>
      <c r="L7" s="230" t="inlineStr">
        <is>
          <t>Remarks</t>
        </is>
      </c>
    </row>
    <row r="8">
      <c r="A8" s="272" t="inlineStr">
        <is>
          <t>11.21.2025</t>
        </is>
      </c>
      <c r="B8" s="197">
        <f>981</f>
        <v/>
      </c>
      <c r="C8" s="197" t="inlineStr">
        <is>
          <t xml:space="preserve">PC </t>
        </is>
      </c>
      <c r="D8" s="216" t="inlineStr">
        <is>
          <t>15/32" 4X8 OSB</t>
        </is>
      </c>
      <c r="E8" s="197" t="n">
        <v>31392</v>
      </c>
      <c r="F8" s="273" t="n">
        <v>395</v>
      </c>
      <c r="G8" s="273" t="n">
        <v>-12399.84</v>
      </c>
      <c r="H8" s="273">
        <f>1524.74</f>
        <v/>
      </c>
      <c r="I8" s="273">
        <f>G8+G9+G10+H8</f>
        <v/>
      </c>
      <c r="J8" s="313" t="inlineStr">
        <is>
          <t>Customer 
Change Order -01</t>
        </is>
      </c>
      <c r="K8" s="316" t="n">
        <v>1</v>
      </c>
      <c r="L8" s="179" t="n"/>
    </row>
    <row r="9">
      <c r="A9" s="243" t="n"/>
      <c r="B9" s="274" t="n">
        <v>981</v>
      </c>
      <c r="C9" s="197" t="inlineStr">
        <is>
          <t xml:space="preserve">PC </t>
        </is>
      </c>
      <c r="D9" s="201" t="inlineStr">
        <is>
          <t>19/32" 4X8 PLYWOOD</t>
        </is>
      </c>
      <c r="E9" s="274" t="n">
        <v>31392</v>
      </c>
      <c r="F9" s="183" t="n">
        <v>855</v>
      </c>
      <c r="G9" s="183" t="n">
        <v>26840.16</v>
      </c>
      <c r="H9" s="243" t="n"/>
      <c r="I9" s="243" t="n"/>
      <c r="J9" s="361" t="n"/>
      <c r="K9" s="361" t="n"/>
      <c r="L9" s="179" t="n"/>
    </row>
    <row r="10">
      <c r="A10" s="362" t="n"/>
      <c r="B10" s="274" t="n">
        <v>325</v>
      </c>
      <c r="C10" s="197" t="inlineStr">
        <is>
          <t xml:space="preserve">PC </t>
        </is>
      </c>
      <c r="D10" s="201" t="inlineStr">
        <is>
          <t>15/32" 4X8 PLYWOOD PT</t>
        </is>
      </c>
      <c r="E10" s="274" t="n">
        <v>10400</v>
      </c>
      <c r="F10" s="183" t="n">
        <v>1055</v>
      </c>
      <c r="G10" s="183">
        <f>10972</f>
        <v/>
      </c>
      <c r="H10" s="362" t="n"/>
      <c r="I10" s="362" t="n"/>
      <c r="J10" s="363" t="n"/>
      <c r="K10" s="363" t="n"/>
      <c r="L10" s="179" t="n"/>
    </row>
    <row r="11" ht="15" customHeight="1">
      <c r="A11" s="272" t="inlineStr">
        <is>
          <t>11.24.2025</t>
        </is>
      </c>
      <c r="B11" s="274" t="n">
        <v>-917</v>
      </c>
      <c r="C11" s="197" t="inlineStr">
        <is>
          <t xml:space="preserve">PC </t>
        </is>
      </c>
      <c r="D11" s="201" t="inlineStr">
        <is>
          <t>23/32" 4X8 OSB T&amp;G</t>
        </is>
      </c>
      <c r="E11" s="274" t="n">
        <v>-29344</v>
      </c>
      <c r="F11" s="183" t="n">
        <v>525</v>
      </c>
      <c r="G11" s="183" t="n">
        <v>-15406</v>
      </c>
      <c r="H11" s="273" t="n">
        <v>862.71</v>
      </c>
      <c r="I11" s="273">
        <f>G11+G12+H11</f>
        <v/>
      </c>
      <c r="J11" s="313" t="inlineStr">
        <is>
          <t>Customer 
Change Order -02</t>
        </is>
      </c>
      <c r="K11" s="314" t="n">
        <v>2</v>
      </c>
      <c r="L11" s="179" t="n"/>
    </row>
    <row r="12" ht="15" customHeight="1">
      <c r="A12" s="362" t="n"/>
      <c r="B12" s="274" t="n">
        <v>917</v>
      </c>
      <c r="C12" s="197" t="inlineStr">
        <is>
          <t xml:space="preserve">PC </t>
        </is>
      </c>
      <c r="D12" s="201" t="inlineStr">
        <is>
          <t>23/32" 4X8 OSB T&amp;G ADVANTECH</t>
        </is>
      </c>
      <c r="E12" s="274" t="n">
        <v>29344</v>
      </c>
      <c r="F12" s="183" t="n">
        <v>1015</v>
      </c>
      <c r="G12" s="183" t="n">
        <v>29784.16</v>
      </c>
      <c r="H12" s="362" t="n"/>
      <c r="I12" s="362" t="n"/>
      <c r="J12" s="363" t="n"/>
      <c r="K12" s="363" t="n"/>
      <c r="L12" s="179" t="n"/>
    </row>
    <row r="13" ht="15" customHeight="1">
      <c r="A13" s="304" t="inlineStr">
        <is>
          <t>12.08.2025</t>
        </is>
      </c>
      <c r="B13" s="274" t="n">
        <v>1063</v>
      </c>
      <c r="C13" s="197" t="inlineStr">
        <is>
          <t xml:space="preserve">PC </t>
        </is>
      </c>
      <c r="D13" s="201" t="inlineStr">
        <is>
          <t>SYP DRY #2 STUD PET 104-5/8" 2X6X9***</t>
        </is>
      </c>
      <c r="E13" s="274" t="n">
        <v>9567</v>
      </c>
      <c r="F13" s="183" t="n">
        <v>525</v>
      </c>
      <c r="G13" s="183" t="n">
        <v>5022.68</v>
      </c>
      <c r="H13" s="273">
        <f>564.45</f>
        <v/>
      </c>
      <c r="I13" s="273">
        <f>G13+G14+H13</f>
        <v/>
      </c>
      <c r="J13" s="315" t="inlineStr">
        <is>
          <t>VPO - 1</t>
        </is>
      </c>
      <c r="K13" s="314" t="n">
        <v>3</v>
      </c>
      <c r="L13" s="225" t="inlineStr">
        <is>
          <t>***Might be CCO</t>
        </is>
      </c>
    </row>
    <row r="14" ht="15" customHeight="1">
      <c r="A14" s="362" t="n"/>
      <c r="B14" s="274" t="n">
        <v>135</v>
      </c>
      <c r="C14" s="197" t="inlineStr">
        <is>
          <t xml:space="preserve">PC </t>
        </is>
      </c>
      <c r="D14" s="201" t="inlineStr">
        <is>
          <t>23/32" 4X8 OSB T&amp;G ADVANTECH</t>
        </is>
      </c>
      <c r="E14" s="274" t="n">
        <v>4320</v>
      </c>
      <c r="F14" s="183" t="n">
        <v>1015</v>
      </c>
      <c r="G14" s="183" t="n">
        <v>4384.8</v>
      </c>
      <c r="H14" s="362" t="n"/>
      <c r="I14" s="362" t="n"/>
      <c r="J14" s="363" t="n"/>
      <c r="K14" s="363" t="n"/>
      <c r="L14" s="225" t="inlineStr">
        <is>
          <t>Take off error</t>
        </is>
      </c>
    </row>
    <row r="15" ht="15" customHeight="1">
      <c r="A15" s="304" t="inlineStr">
        <is>
          <t>12.10.2025</t>
        </is>
      </c>
      <c r="B15" s="274" t="n">
        <v>9984</v>
      </c>
      <c r="C15" s="197" t="inlineStr">
        <is>
          <t>LF</t>
        </is>
      </c>
      <c r="D15" s="201" t="inlineStr">
        <is>
          <t>SYP DRY #2 BTR S4S 2X4XR/L</t>
        </is>
      </c>
      <c r="E15" s="274" t="n">
        <v>6656</v>
      </c>
      <c r="F15" s="183" t="n">
        <v>515</v>
      </c>
      <c r="G15" s="183" t="n">
        <v>3427.84</v>
      </c>
      <c r="H15" s="273" t="n">
        <v>205.67</v>
      </c>
      <c r="I15" s="273">
        <f>G15+H15</f>
        <v/>
      </c>
      <c r="J15" s="315" t="inlineStr">
        <is>
          <t>VPO - 2</t>
        </is>
      </c>
      <c r="K15" s="309" t="n">
        <v>4</v>
      </c>
      <c r="L15" s="225" t="inlineStr">
        <is>
          <t>bracing, kickers. blocking</t>
        </is>
      </c>
    </row>
    <row r="16" ht="15" customHeight="1">
      <c r="A16" s="304" t="inlineStr">
        <is>
          <t>12.27.2025</t>
        </is>
      </c>
      <c r="B16" s="274" t="n">
        <v>1664</v>
      </c>
      <c r="C16" s="197" t="inlineStr">
        <is>
          <t xml:space="preserve">PC </t>
        </is>
      </c>
      <c r="D16" s="201" t="inlineStr">
        <is>
          <t>SYP DRY #2 STUD PET 104-5/8" 2X4X9</t>
        </is>
      </c>
      <c r="E16" s="274" t="n">
        <v>9984</v>
      </c>
      <c r="F16" s="183" t="n">
        <v>545</v>
      </c>
      <c r="G16" s="183" t="n">
        <v>5441.28</v>
      </c>
      <c r="H16" s="273" t="n">
        <v>424.3</v>
      </c>
      <c r="I16" s="273">
        <f>G16+G17+H16</f>
        <v/>
      </c>
      <c r="J16" s="315" t="inlineStr">
        <is>
          <t>VPO - 3</t>
        </is>
      </c>
      <c r="K16" s="309" t="n">
        <v>5</v>
      </c>
      <c r="L16" s="225" t="inlineStr">
        <is>
          <t>Big Take off error</t>
        </is>
      </c>
    </row>
    <row r="17" ht="15" customHeight="1">
      <c r="A17" s="362" t="n"/>
      <c r="B17" s="274" t="n">
        <v>3748</v>
      </c>
      <c r="C17" s="197" t="inlineStr">
        <is>
          <t>LF</t>
        </is>
      </c>
      <c r="D17" s="234" t="inlineStr">
        <is>
          <t>SYP DRY #2/BTR S4S 2X6XR/L</t>
        </is>
      </c>
      <c r="E17" s="274" t="n">
        <v>3748</v>
      </c>
      <c r="F17" s="183" t="n">
        <v>435</v>
      </c>
      <c r="G17" s="183" t="n">
        <v>1630.38</v>
      </c>
      <c r="H17" s="362" t="n"/>
      <c r="I17" s="362" t="n"/>
      <c r="J17" s="363" t="n"/>
      <c r="K17" s="363" t="n"/>
      <c r="L17" s="225" t="inlineStr">
        <is>
          <t>bracing, kickers. blocking, headers, top and bottom plates</t>
        </is>
      </c>
    </row>
    <row r="18" ht="15" customHeight="1">
      <c r="A18" s="304" t="inlineStr">
        <is>
          <t>12.22.2025</t>
        </is>
      </c>
      <c r="B18" s="274" t="n">
        <v>4032</v>
      </c>
      <c r="C18" s="197" t="inlineStr">
        <is>
          <t>LF</t>
        </is>
      </c>
      <c r="D18" s="202" t="inlineStr">
        <is>
          <t>SYP MCA TREATED #2/BTR S4S 2X8XR/L</t>
        </is>
      </c>
      <c r="E18" s="274" t="n">
        <v>5376</v>
      </c>
      <c r="F18" s="183" t="n">
        <v>815</v>
      </c>
      <c r="G18" s="183" t="n">
        <v>4381.44</v>
      </c>
      <c r="H18" s="273" t="n">
        <v>262.89</v>
      </c>
      <c r="I18" s="273">
        <f>G18+H18</f>
        <v/>
      </c>
      <c r="J18" s="315" t="inlineStr">
        <is>
          <t>VPO - 4</t>
        </is>
      </c>
      <c r="K18" s="309" t="n">
        <v>6</v>
      </c>
      <c r="L18" s="225" t="inlineStr">
        <is>
          <t>headers on exterior walls</t>
        </is>
      </c>
    </row>
    <row r="19">
      <c r="A19" s="305" t="inlineStr">
        <is>
          <t>12.22.2025</t>
        </is>
      </c>
      <c r="B19" s="279" t="n">
        <v>50</v>
      </c>
      <c r="C19" s="198" t="inlineStr">
        <is>
          <t xml:space="preserve">PC </t>
        </is>
      </c>
      <c r="D19" s="224" t="inlineStr">
        <is>
          <t>23/32" 4X8 OSB T&amp;G MCA TREATED</t>
        </is>
      </c>
      <c r="E19" s="206" t="n">
        <v>1600</v>
      </c>
      <c r="F19" s="257" t="n">
        <v>1285</v>
      </c>
      <c r="G19" s="257" t="n">
        <v>2056</v>
      </c>
      <c r="H19" s="259">
        <f>123.36</f>
        <v/>
      </c>
      <c r="I19" s="259">
        <f>G19+H19</f>
        <v/>
      </c>
      <c r="J19" s="307" t="inlineStr">
        <is>
          <t>VPO - 5</t>
        </is>
      </c>
      <c r="K19" s="191" t="n">
        <v>8</v>
      </c>
      <c r="L19" s="225" t="inlineStr">
        <is>
          <t>sub floor sheathing in the corridors</t>
        </is>
      </c>
    </row>
    <row r="20">
      <c r="A20" s="305" t="inlineStr">
        <is>
          <t>12.29.2025</t>
        </is>
      </c>
      <c r="B20" s="274" t="n">
        <v>2496</v>
      </c>
      <c r="C20" s="197" t="inlineStr">
        <is>
          <t>LF</t>
        </is>
      </c>
      <c r="D20" s="201" t="inlineStr">
        <is>
          <t>SYP DRY #2 BTR S4S 2X4XR/L</t>
        </is>
      </c>
      <c r="E20" s="274" t="n">
        <v>1664</v>
      </c>
      <c r="F20" s="183" t="n">
        <v>515</v>
      </c>
      <c r="G20" s="183" t="n">
        <v>856.96</v>
      </c>
      <c r="H20" s="259">
        <f>515.9</f>
        <v/>
      </c>
      <c r="I20" s="259">
        <f>SUM(G20:G23)+H20</f>
        <v/>
      </c>
      <c r="J20" s="296" t="inlineStr">
        <is>
          <t>VPO - 6</t>
        </is>
      </c>
      <c r="K20" s="311" t="n">
        <v>9</v>
      </c>
      <c r="L20" s="225" t="inlineStr">
        <is>
          <t>bracing, kickers. blocking</t>
        </is>
      </c>
    </row>
    <row r="21">
      <c r="A21" s="243" t="n"/>
      <c r="B21" s="274" t="n">
        <v>3584</v>
      </c>
      <c r="C21" s="197" t="inlineStr">
        <is>
          <t>LF</t>
        </is>
      </c>
      <c r="D21" s="234" t="inlineStr">
        <is>
          <t>SYP DRY #2/BTR S4S 2X6XR/L</t>
        </is>
      </c>
      <c r="E21" s="274" t="n">
        <v>3584</v>
      </c>
      <c r="F21" s="183" t="n">
        <v>495</v>
      </c>
      <c r="G21" s="183" t="n">
        <v>1774.08</v>
      </c>
      <c r="H21" s="243" t="n"/>
      <c r="I21" s="243" t="n"/>
      <c r="J21" s="243" t="n"/>
      <c r="K21" s="361" t="n"/>
      <c r="L21" s="225" t="inlineStr">
        <is>
          <t>bracing, kickers. blocking, headers, top and bottom plates</t>
        </is>
      </c>
    </row>
    <row r="22">
      <c r="A22" s="243" t="n"/>
      <c r="B22" s="274" t="n">
        <v>128</v>
      </c>
      <c r="C22" s="197" t="inlineStr">
        <is>
          <t xml:space="preserve">PC </t>
        </is>
      </c>
      <c r="D22" s="224" t="inlineStr">
        <is>
          <t>SYP DRY #2 STUD PET 104-5/8" 2X6X9***</t>
        </is>
      </c>
      <c r="E22" s="274" t="n">
        <v>1152</v>
      </c>
      <c r="F22" s="183" t="n">
        <v>525</v>
      </c>
      <c r="G22" s="183" t="n">
        <v>604.8</v>
      </c>
      <c r="H22" s="243" t="n"/>
      <c r="I22" s="243" t="n"/>
      <c r="J22" s="243" t="n"/>
      <c r="K22" s="361" t="n"/>
      <c r="L22" s="225" t="inlineStr">
        <is>
          <t>***Might be CCO</t>
        </is>
      </c>
    </row>
    <row r="23">
      <c r="A23" s="243" t="n"/>
      <c r="B23" s="279" t="n">
        <v>196</v>
      </c>
      <c r="C23" s="198" t="inlineStr">
        <is>
          <t xml:space="preserve">PC </t>
        </is>
      </c>
      <c r="D23" s="224" t="inlineStr">
        <is>
          <t>19/32" 4X8 PLYWOOD</t>
        </is>
      </c>
      <c r="E23" s="206" t="n">
        <v>6272</v>
      </c>
      <c r="F23" s="257" t="n">
        <v>855</v>
      </c>
      <c r="G23" s="257" t="n">
        <v>5362.56</v>
      </c>
      <c r="H23" s="243" t="n"/>
      <c r="I23" s="243" t="n"/>
      <c r="J23" s="243" t="n"/>
      <c r="K23" s="361" t="n"/>
      <c r="L23" s="236" t="inlineStr">
        <is>
          <t>roof sheathing</t>
        </is>
      </c>
    </row>
    <row r="24">
      <c r="A24" s="304" t="inlineStr">
        <is>
          <t>1.16.2025</t>
        </is>
      </c>
      <c r="B24" s="274" t="n">
        <v>2912</v>
      </c>
      <c r="C24" s="197" t="inlineStr">
        <is>
          <t>LF</t>
        </is>
      </c>
      <c r="D24" s="179" t="inlineStr">
        <is>
          <t>SYP DRY #2/BTR S4S 2X4XR/L</t>
        </is>
      </c>
      <c r="E24" s="274" t="n">
        <v>1941</v>
      </c>
      <c r="F24" s="183" t="n">
        <v>515</v>
      </c>
      <c r="G24" s="183" t="n">
        <v>999.79</v>
      </c>
      <c r="H24" s="273" t="n">
        <v>59.99</v>
      </c>
      <c r="I24" s="273">
        <f>G24+H24</f>
        <v/>
      </c>
      <c r="J24" s="293" t="inlineStr">
        <is>
          <t>VPO - 7</t>
        </is>
      </c>
      <c r="K24" s="274" t="n">
        <v>10</v>
      </c>
      <c r="L24" s="225" t="inlineStr">
        <is>
          <t>For the furdowns in clubhouse</t>
        </is>
      </c>
    </row>
    <row r="25">
      <c r="A25" s="304" t="inlineStr">
        <is>
          <t>1.23.2026</t>
        </is>
      </c>
      <c r="B25" s="274" t="n">
        <v>7488</v>
      </c>
      <c r="C25" s="197" t="inlineStr">
        <is>
          <t>LF</t>
        </is>
      </c>
      <c r="D25" s="179" t="inlineStr">
        <is>
          <t>SYP DRY #2/BTR S4S 2X4XR/L</t>
        </is>
      </c>
      <c r="E25" s="274" t="n">
        <v>4992</v>
      </c>
      <c r="F25" s="183" t="n">
        <v>515</v>
      </c>
      <c r="G25" s="183" t="n">
        <v>2570.88</v>
      </c>
      <c r="H25" s="273" t="n">
        <v>154.25</v>
      </c>
      <c r="I25" s="273">
        <f>G25+H25</f>
        <v/>
      </c>
      <c r="J25" s="293" t="inlineStr">
        <is>
          <t>VPO - 8</t>
        </is>
      </c>
      <c r="K25" s="274" t="n">
        <v>11</v>
      </c>
      <c r="L25" s="225" t="n"/>
    </row>
    <row r="26">
      <c r="A26" s="304" t="inlineStr">
        <is>
          <t>1.26.2026</t>
        </is>
      </c>
      <c r="B26" s="274" t="n">
        <v>56</v>
      </c>
      <c r="C26" s="197" t="inlineStr">
        <is>
          <t xml:space="preserve">PC </t>
        </is>
      </c>
      <c r="D26" s="179" t="inlineStr">
        <is>
          <t>19/32" 4X8 PLYWOOD</t>
        </is>
      </c>
      <c r="E26" s="274" t="n">
        <v>1792</v>
      </c>
      <c r="F26" s="183" t="n">
        <v>855</v>
      </c>
      <c r="G26" s="183" t="n">
        <v>1532.16</v>
      </c>
      <c r="H26" s="273">
        <f>91.93</f>
        <v/>
      </c>
      <c r="I26" s="273">
        <f>G26+H26</f>
        <v/>
      </c>
      <c r="J26" s="293" t="inlineStr">
        <is>
          <t>VPO - 9</t>
        </is>
      </c>
      <c r="K26" s="274" t="n">
        <v>12</v>
      </c>
      <c r="L26" s="225" t="n"/>
    </row>
    <row r="27">
      <c r="A27" s="305" t="inlineStr">
        <is>
          <t>03.13.2026</t>
        </is>
      </c>
      <c r="B27" s="279" t="n">
        <v>2496</v>
      </c>
      <c r="C27" s="280" t="inlineStr">
        <is>
          <t>LF</t>
        </is>
      </c>
      <c r="D27" s="202" t="inlineStr">
        <is>
          <t>SYP DRY #2 BTR S4S 2X4XR/L</t>
        </is>
      </c>
      <c r="E27" s="279" t="n">
        <v>1664</v>
      </c>
      <c r="F27" s="257" t="n">
        <v>515</v>
      </c>
      <c r="G27" s="257" t="n">
        <v>856.96</v>
      </c>
      <c r="H27" s="259">
        <f>59.99</f>
        <v/>
      </c>
      <c r="I27" s="259">
        <f>G27+H27</f>
        <v/>
      </c>
      <c r="J27" s="296" t="inlineStr">
        <is>
          <t>VPO - 10</t>
        </is>
      </c>
      <c r="K27" s="279" t="n">
        <v>15</v>
      </c>
      <c r="L27" s="236" t="n"/>
    </row>
    <row r="28">
      <c r="A28" s="304" t="inlineStr">
        <is>
          <t>03.09.2026</t>
        </is>
      </c>
      <c r="B28" s="274" t="n">
        <v>128</v>
      </c>
      <c r="C28" s="197" t="inlineStr">
        <is>
          <t xml:space="preserve">PC </t>
        </is>
      </c>
      <c r="D28" s="201" t="inlineStr">
        <is>
          <t>SYP DRY #2 STUD PET 104-5/8" 2X6X9</t>
        </is>
      </c>
      <c r="E28" s="274" t="n">
        <v>1152</v>
      </c>
      <c r="F28" s="183" t="n">
        <v>645</v>
      </c>
      <c r="G28" s="183" t="n">
        <v>743.04</v>
      </c>
      <c r="H28" s="273">
        <f>150.04</f>
        <v/>
      </c>
      <c r="I28" s="273">
        <f>G28+G29+G30+H28</f>
        <v/>
      </c>
      <c r="J28" s="293" t="inlineStr">
        <is>
          <t>VPO - 11</t>
        </is>
      </c>
      <c r="K28" s="274" t="n">
        <v>14</v>
      </c>
      <c r="L28" s="225" t="n"/>
    </row>
    <row r="29">
      <c r="A29" s="243" t="n"/>
      <c r="B29" s="274" t="n">
        <v>72</v>
      </c>
      <c r="C29" s="197" t="inlineStr">
        <is>
          <t>LF</t>
        </is>
      </c>
      <c r="D29" s="201" t="inlineStr">
        <is>
          <t>3-1/2X11-7/8 GLULAM BEAM 6/12'</t>
        </is>
      </c>
      <c r="E29" s="274" t="n">
        <v>72</v>
      </c>
      <c r="F29" s="183" t="n">
        <v>19.45</v>
      </c>
      <c r="G29" s="183" t="n">
        <v>1400.4</v>
      </c>
      <c r="H29" s="243" t="n"/>
      <c r="I29" s="243" t="n"/>
      <c r="J29" s="243" t="n"/>
      <c r="K29" s="243" t="n"/>
      <c r="L29" s="225" t="n"/>
    </row>
    <row r="30">
      <c r="A30" s="362" t="n"/>
      <c r="B30" s="274" t="n">
        <v>1</v>
      </c>
      <c r="C30" s="197" t="inlineStr">
        <is>
          <t>EA</t>
        </is>
      </c>
      <c r="D30" s="201" t="inlineStr">
        <is>
          <t>DELIVERY - NO SALES TAX</t>
        </is>
      </c>
      <c r="E30" s="274" t="n">
        <v>1</v>
      </c>
      <c r="F30" s="183" t="n">
        <v>800</v>
      </c>
      <c r="G30" s="183" t="n">
        <v>800</v>
      </c>
      <c r="H30" s="362" t="n"/>
      <c r="I30" s="362" t="n"/>
      <c r="J30" s="362" t="n"/>
      <c r="K30" s="362" t="n"/>
      <c r="L30" s="225" t="n"/>
    </row>
    <row r="31">
      <c r="H31" s="227">
        <f>SUM(H8:H30)</f>
        <v/>
      </c>
      <c r="I31" s="227">
        <f>SUM(I8:I30)</f>
        <v/>
      </c>
    </row>
    <row r="32">
      <c r="I32" s="237" t="n"/>
      <c r="J32">
        <f>H28/SUM(G28:G30)</f>
        <v/>
      </c>
    </row>
    <row r="34">
      <c r="I34" s="237" t="n"/>
    </row>
    <row r="36">
      <c r="I36" s="237" t="n"/>
    </row>
    <row r="37" ht="14.45" customHeight="1">
      <c r="A37" s="358" t="inlineStr">
        <is>
          <t>VPO for Cobia Cove Apartments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60" t="n"/>
    </row>
    <row r="38">
      <c r="A38" s="280" t="n"/>
      <c r="B38" s="280" t="n"/>
      <c r="C38" s="280" t="n"/>
      <c r="D38" s="280" t="n"/>
      <c r="E38" s="280" t="n"/>
      <c r="F38" s="280" t="n"/>
      <c r="G38" s="280" t="n"/>
      <c r="H38" s="280" t="n"/>
      <c r="I38" s="280" t="n"/>
      <c r="J38" s="199" t="n"/>
      <c r="K38" s="199" t="n"/>
      <c r="L38" s="199" t="n"/>
    </row>
    <row r="39">
      <c r="A39" s="215" t="inlineStr">
        <is>
          <t>VPO Date</t>
        </is>
      </c>
      <c r="B39" s="215" t="inlineStr">
        <is>
          <t>Ordered Qty</t>
        </is>
      </c>
      <c r="C39" s="215" t="inlineStr">
        <is>
          <t>UOM</t>
        </is>
      </c>
      <c r="D39" s="215" t="inlineStr">
        <is>
          <t>Description</t>
        </is>
      </c>
      <c r="E39" s="215" t="inlineStr">
        <is>
          <t>Footage</t>
        </is>
      </c>
      <c r="F39" s="215" t="inlineStr">
        <is>
          <t>Price</t>
        </is>
      </c>
      <c r="G39" s="215" t="inlineStr">
        <is>
          <t>Amount</t>
        </is>
      </c>
      <c r="H39" s="215" t="inlineStr">
        <is>
          <t>Tax</t>
        </is>
      </c>
      <c r="I39" s="215" t="inlineStr">
        <is>
          <t>Total Amount</t>
        </is>
      </c>
      <c r="J39" s="180" t="inlineStr">
        <is>
          <t>CO#</t>
        </is>
      </c>
      <c r="K39" s="180" t="inlineStr">
        <is>
          <t>CO numbers</t>
        </is>
      </c>
      <c r="L39" s="180" t="inlineStr">
        <is>
          <t>Remarks</t>
        </is>
      </c>
    </row>
    <row r="40">
      <c r="A40" s="280" t="inlineStr">
        <is>
          <t>09.17.2025</t>
        </is>
      </c>
      <c r="B40" s="197" t="n">
        <v>5</v>
      </c>
      <c r="C40" s="197" t="inlineStr">
        <is>
          <t xml:space="preserve">PC </t>
        </is>
      </c>
      <c r="D40" s="216" t="inlineStr">
        <is>
          <t>SYP MCA TREATED #2/BTR S4S 2X6X12</t>
        </is>
      </c>
      <c r="E40" s="197" t="n">
        <v>5</v>
      </c>
      <c r="F40" s="273" t="n">
        <v>11.45</v>
      </c>
      <c r="G40" s="273" t="n">
        <v>57.25</v>
      </c>
      <c r="H40" s="280" t="n">
        <v>240.77</v>
      </c>
      <c r="I40" s="278">
        <f>SUM(G40:G48)+H40</f>
        <v/>
      </c>
      <c r="J40" s="279" t="inlineStr">
        <is>
          <t>VPO</t>
        </is>
      </c>
      <c r="K40" s="364" t="n"/>
      <c r="L40" s="274" t="inlineStr">
        <is>
          <t>Mockupwall</t>
        </is>
      </c>
    </row>
    <row r="41">
      <c r="A41" s="243" t="n"/>
      <c r="B41" s="197" t="n">
        <v>41</v>
      </c>
      <c r="C41" s="197" t="inlineStr">
        <is>
          <t xml:space="preserve">PC </t>
        </is>
      </c>
      <c r="D41" s="216" t="inlineStr">
        <is>
          <t>SYP DRY #2/BTR S4S 2X6X12</t>
        </is>
      </c>
      <c r="E41" s="197" t="n">
        <v>41</v>
      </c>
      <c r="F41" s="273" t="n">
        <v>7.35</v>
      </c>
      <c r="G41" s="273" t="n">
        <v>301.35</v>
      </c>
      <c r="H41" s="243" t="n"/>
      <c r="I41" s="243" t="n"/>
      <c r="J41" s="243" t="n"/>
      <c r="K41" s="243" t="n"/>
      <c r="L41" s="243" t="n"/>
    </row>
    <row r="42">
      <c r="A42" s="243" t="n"/>
      <c r="B42" s="197" t="n">
        <v>128</v>
      </c>
      <c r="C42" s="197" t="inlineStr">
        <is>
          <t xml:space="preserve">PC </t>
        </is>
      </c>
      <c r="D42" s="216" t="inlineStr">
        <is>
          <t>SYP DRY #2 STUD PET 104-5/8" 2X6X9</t>
        </is>
      </c>
      <c r="E42" s="197" t="n">
        <v>1152</v>
      </c>
      <c r="F42" s="273" t="n">
        <v>650</v>
      </c>
      <c r="G42" s="273" t="n">
        <v>748.8</v>
      </c>
      <c r="H42" s="243" t="n"/>
      <c r="I42" s="243" t="n"/>
      <c r="J42" s="243" t="n"/>
      <c r="K42" s="243" t="n"/>
      <c r="L42" s="243" t="n"/>
    </row>
    <row r="43">
      <c r="A43" s="243" t="n"/>
      <c r="B43" s="197" t="n">
        <v>1</v>
      </c>
      <c r="C43" s="197" t="inlineStr">
        <is>
          <t xml:space="preserve">PC </t>
        </is>
      </c>
      <c r="D43" s="216" t="inlineStr">
        <is>
          <t>TYVEK COMMERCIAL WRAP</t>
        </is>
      </c>
      <c r="E43" s="197" t="n">
        <v>1</v>
      </c>
      <c r="F43" s="273" t="n">
        <v>365</v>
      </c>
      <c r="G43" s="273" t="n">
        <v>365</v>
      </c>
      <c r="H43" s="243" t="n"/>
      <c r="I43" s="243" t="n"/>
      <c r="J43" s="243" t="n"/>
      <c r="K43" s="243" t="n"/>
      <c r="L43" s="243" t="n"/>
    </row>
    <row r="44">
      <c r="A44" s="243" t="n"/>
      <c r="B44" s="197" t="n">
        <v>12</v>
      </c>
      <c r="C44" s="197" t="inlineStr">
        <is>
          <t>EA</t>
        </is>
      </c>
      <c r="D44" s="216" t="inlineStr">
        <is>
          <t>TOWER RESIDENTIAL SEALANT</t>
        </is>
      </c>
      <c r="E44" s="197" t="n">
        <v>12</v>
      </c>
      <c r="F44" s="273" t="n">
        <v>8.050000000000001</v>
      </c>
      <c r="G44" s="273" t="n">
        <v>96.59999999999999</v>
      </c>
      <c r="H44" s="243" t="n"/>
      <c r="I44" s="243" t="n"/>
      <c r="J44" s="243" t="n"/>
      <c r="K44" s="243" t="n"/>
      <c r="L44" s="243" t="n"/>
    </row>
    <row r="45">
      <c r="A45" s="243" t="n"/>
      <c r="B45" s="197" t="n">
        <v>1</v>
      </c>
      <c r="C45" s="197" t="inlineStr">
        <is>
          <t>EA</t>
        </is>
      </c>
      <c r="D45" s="216" t="inlineStr">
        <is>
          <t>6" SILL SEAL</t>
        </is>
      </c>
      <c r="E45" s="197" t="n">
        <v>1</v>
      </c>
      <c r="F45" s="273" t="n">
        <v>7.75</v>
      </c>
      <c r="G45" s="273" t="n">
        <v>7.75</v>
      </c>
      <c r="H45" s="243" t="n"/>
      <c r="I45" s="243" t="n"/>
      <c r="J45" s="243" t="n"/>
      <c r="K45" s="243" t="n"/>
      <c r="L45" s="243" t="n"/>
    </row>
    <row r="46">
      <c r="A46" s="243" t="n"/>
      <c r="B46" s="197" t="n">
        <v>8</v>
      </c>
      <c r="C46" s="197" t="inlineStr">
        <is>
          <t xml:space="preserve">PC </t>
        </is>
      </c>
      <c r="D46" s="216" t="inlineStr">
        <is>
          <t>6" TYVEK FLASHING TAPE</t>
        </is>
      </c>
      <c r="E46" s="197" t="n">
        <v>8</v>
      </c>
      <c r="F46" s="273" t="n">
        <v>63.05</v>
      </c>
      <c r="G46" s="273" t="n">
        <v>504.4</v>
      </c>
      <c r="H46" s="243" t="n"/>
      <c r="I46" s="243" t="n"/>
      <c r="J46" s="243" t="n"/>
      <c r="K46" s="243" t="n"/>
      <c r="L46" s="243" t="n"/>
    </row>
    <row r="47">
      <c r="A47" s="243" t="n"/>
      <c r="B47" s="197" t="n">
        <v>1</v>
      </c>
      <c r="C47" s="197" t="inlineStr">
        <is>
          <t>EA</t>
        </is>
      </c>
      <c r="D47" s="216" t="inlineStr">
        <is>
          <t>9"X75' TYVEK FLEX TAPE</t>
        </is>
      </c>
      <c r="E47" s="197" t="n">
        <v>1</v>
      </c>
      <c r="F47" s="273" t="n">
        <v>198.15</v>
      </c>
      <c r="G47" s="273" t="n">
        <v>198.15</v>
      </c>
      <c r="H47" s="243" t="n"/>
      <c r="I47" s="243" t="n"/>
      <c r="J47" s="243" t="n"/>
      <c r="K47" s="243" t="n"/>
      <c r="L47" s="243" t="n"/>
    </row>
    <row r="48">
      <c r="A48" s="243" t="n"/>
      <c r="B48" s="280" t="n">
        <v>85</v>
      </c>
      <c r="C48" s="280" t="inlineStr">
        <is>
          <t xml:space="preserve">PC </t>
        </is>
      </c>
      <c r="D48" s="217" t="inlineStr">
        <is>
          <t>15/32" 4X8 OSB</t>
        </is>
      </c>
      <c r="E48" s="280" t="n">
        <v>85</v>
      </c>
      <c r="F48" s="259" t="n">
        <v>13.65</v>
      </c>
      <c r="G48" s="259" t="n">
        <v>1160.25</v>
      </c>
      <c r="H48" s="243" t="n"/>
      <c r="I48" s="243" t="n"/>
      <c r="J48" s="243" t="n"/>
      <c r="K48" s="362" t="n"/>
      <c r="L48" s="362" t="n"/>
    </row>
    <row r="49">
      <c r="A49" s="197" t="inlineStr">
        <is>
          <t>11.11.2025</t>
        </is>
      </c>
      <c r="B49" s="197" t="n">
        <v>4</v>
      </c>
      <c r="C49" s="197" t="inlineStr">
        <is>
          <t>EA</t>
        </is>
      </c>
      <c r="D49" s="216" t="inlineStr">
        <is>
          <t xml:space="preserve">SIMPSON HUC410 </t>
        </is>
      </c>
      <c r="E49" s="197">
        <f>B49</f>
        <v/>
      </c>
      <c r="F49" s="273" t="n">
        <v>16.25</v>
      </c>
      <c r="G49" s="273">
        <f>E49*F49</f>
        <v/>
      </c>
      <c r="H49" s="197" t="n">
        <v>92.95999999999999</v>
      </c>
      <c r="I49" s="365">
        <f>SUM(G49:G54)+H49</f>
        <v/>
      </c>
      <c r="J49" s="274" t="inlineStr">
        <is>
          <t>VPO</t>
        </is>
      </c>
      <c r="K49" s="364" t="n"/>
      <c r="L49" s="238" t="n"/>
    </row>
    <row r="50">
      <c r="A50" s="243" t="n"/>
      <c r="B50" s="197" t="n">
        <v>10</v>
      </c>
      <c r="C50" s="197" t="inlineStr">
        <is>
          <t>EA</t>
        </is>
      </c>
      <c r="D50" s="216" t="inlineStr">
        <is>
          <t>SIMPSON HUC210</t>
        </is>
      </c>
      <c r="E50" s="197">
        <f>B50</f>
        <v/>
      </c>
      <c r="F50" s="273" t="n">
        <v>18.15</v>
      </c>
      <c r="G50" s="273">
        <f>E50*F50</f>
        <v/>
      </c>
      <c r="H50" s="243" t="n"/>
      <c r="I50" s="243" t="n"/>
      <c r="J50" s="243" t="n"/>
      <c r="K50" s="243" t="n"/>
      <c r="L50" s="238" t="n"/>
    </row>
    <row r="51">
      <c r="A51" s="243" t="n"/>
      <c r="B51" s="197" t="n">
        <v>3</v>
      </c>
      <c r="C51" s="197" t="inlineStr">
        <is>
          <t>EA</t>
        </is>
      </c>
      <c r="D51" s="216" t="inlineStr">
        <is>
          <t>TREX HIDDEN FASTENERS</t>
        </is>
      </c>
      <c r="E51" s="197">
        <f>B51</f>
        <v/>
      </c>
      <c r="F51" s="273" t="n">
        <v>49.85</v>
      </c>
      <c r="G51" s="273">
        <f>E51*F51</f>
        <v/>
      </c>
      <c r="H51" s="243" t="n"/>
      <c r="I51" s="243" t="n"/>
      <c r="J51" s="243" t="n"/>
      <c r="K51" s="243" t="n"/>
      <c r="L51" s="238" t="n"/>
    </row>
    <row r="52">
      <c r="A52" s="243" t="n"/>
      <c r="B52" s="197" t="n">
        <v>3</v>
      </c>
      <c r="C52" s="197" t="inlineStr">
        <is>
          <t xml:space="preserve">PC </t>
        </is>
      </c>
      <c r="D52" s="216" t="inlineStr">
        <is>
          <t>19/32" 4X8 CDX</t>
        </is>
      </c>
      <c r="E52" s="197">
        <f>B52</f>
        <v/>
      </c>
      <c r="F52" s="273" t="n">
        <v>27.45</v>
      </c>
      <c r="G52" s="273">
        <f>E52*F52</f>
        <v/>
      </c>
      <c r="H52" s="243" t="n"/>
      <c r="I52" s="243" t="n"/>
      <c r="J52" s="243" t="n"/>
      <c r="K52" s="243" t="n"/>
      <c r="L52" s="205" t="n"/>
    </row>
    <row r="53">
      <c r="A53" s="243" t="n"/>
      <c r="B53" s="197" t="n">
        <v>3</v>
      </c>
      <c r="C53" s="197" t="inlineStr">
        <is>
          <t xml:space="preserve">PC </t>
        </is>
      </c>
      <c r="D53" s="216" t="inlineStr">
        <is>
          <t xml:space="preserve">TREX CLAM SHELL SQUARE EDGE 1X6X16 </t>
        </is>
      </c>
      <c r="E53" s="197">
        <f>B53</f>
        <v/>
      </c>
      <c r="F53" s="273" t="n">
        <v>47.2</v>
      </c>
      <c r="G53" s="273">
        <f>E53*F53</f>
        <v/>
      </c>
      <c r="H53" s="243" t="n"/>
      <c r="I53" s="243" t="n"/>
      <c r="J53" s="243" t="n"/>
      <c r="K53" s="243" t="n"/>
      <c r="L53" s="238" t="n"/>
    </row>
    <row r="54">
      <c r="A54" s="362" t="n"/>
      <c r="B54" s="197" t="n">
        <v>15</v>
      </c>
      <c r="C54" s="197" t="inlineStr">
        <is>
          <t xml:space="preserve">PC </t>
        </is>
      </c>
      <c r="D54" s="216" t="inlineStr">
        <is>
          <t xml:space="preserve">TREX CLAM SHELL GROOVED 1X6X16 </t>
        </is>
      </c>
      <c r="E54" s="197">
        <f>B54</f>
        <v/>
      </c>
      <c r="F54" s="273" t="n">
        <v>47.2</v>
      </c>
      <c r="G54" s="273">
        <f>E54*F54</f>
        <v/>
      </c>
      <c r="H54" s="362" t="n"/>
      <c r="I54" s="362" t="n"/>
      <c r="J54" s="362" t="n"/>
      <c r="K54" s="362" t="n"/>
      <c r="L54" s="238" t="n"/>
    </row>
    <row r="55">
      <c r="A55" s="269" t="inlineStr">
        <is>
          <t>12.29.2025</t>
        </is>
      </c>
      <c r="B55" s="301" t="n">
        <v>-936</v>
      </c>
      <c r="C55" s="301" t="inlineStr">
        <is>
          <t xml:space="preserve">PC </t>
        </is>
      </c>
      <c r="D55" s="239" t="inlineStr">
        <is>
          <t>15/32" 4X8 OSB</t>
        </is>
      </c>
      <c r="E55" s="301" t="n">
        <v>-29952</v>
      </c>
      <c r="F55" s="260" t="n">
        <v>475</v>
      </c>
      <c r="G55" s="260" t="n">
        <v>-14227.2</v>
      </c>
      <c r="H55" s="260">
        <f>1037.84</f>
        <v/>
      </c>
      <c r="I55" s="260">
        <f>G55+G56+H55</f>
        <v/>
      </c>
      <c r="J55" s="300" t="inlineStr">
        <is>
          <t>VPO</t>
        </is>
      </c>
      <c r="K55" s="366" t="n"/>
      <c r="L55" s="262" t="inlineStr">
        <is>
          <t>VPO</t>
        </is>
      </c>
      <c r="N55" s="203" t="n"/>
    </row>
    <row r="56" ht="14.45" customHeight="1">
      <c r="A56" s="362" t="n"/>
      <c r="B56" s="274" t="n">
        <v>936</v>
      </c>
      <c r="C56" s="197" t="inlineStr">
        <is>
          <t xml:space="preserve">PC </t>
        </is>
      </c>
      <c r="D56" t="inlineStr">
        <is>
          <t>15/32" 4X8 PLYWOOD PT</t>
        </is>
      </c>
      <c r="E56" s="274" t="n">
        <v>29952</v>
      </c>
      <c r="F56" s="183" t="n">
        <v>970</v>
      </c>
      <c r="G56" s="183" t="n">
        <v>29053.44</v>
      </c>
      <c r="H56" s="362" t="n"/>
      <c r="I56" s="362" t="n"/>
      <c r="J56" s="362" t="n"/>
      <c r="K56" s="362" t="n"/>
      <c r="L56" s="362" t="n"/>
      <c r="N56" s="203" t="n"/>
    </row>
    <row r="57">
      <c r="A57" s="272" t="inlineStr">
        <is>
          <t>1.12.2026</t>
        </is>
      </c>
      <c r="B57" s="274" t="n">
        <v>-232</v>
      </c>
      <c r="C57" s="197" t="inlineStr">
        <is>
          <t xml:space="preserve">PC </t>
        </is>
      </c>
      <c r="D57" s="190" t="inlineStr">
        <is>
          <t>7/16" 4X8 OSB</t>
        </is>
      </c>
      <c r="E57" s="274" t="n">
        <v>-7424</v>
      </c>
      <c r="F57" s="183" t="n">
        <v>465</v>
      </c>
      <c r="G57" s="183" t="n">
        <v>-3452.16</v>
      </c>
      <c r="H57" s="273" t="n">
        <v>-2726.24</v>
      </c>
      <c r="I57" s="273">
        <f>G57+G58+G59+H57</f>
        <v/>
      </c>
      <c r="J57" s="367" t="inlineStr">
        <is>
          <t>VPO</t>
        </is>
      </c>
      <c r="K57" s="183" t="n"/>
      <c r="L57" s="364" t="n"/>
      <c r="N57" s="203" t="n"/>
    </row>
    <row r="58" ht="14.45" customHeight="1">
      <c r="A58" s="243" t="n"/>
      <c r="B58" s="274" t="n">
        <v>-20099</v>
      </c>
      <c r="C58" s="197" t="inlineStr">
        <is>
          <t xml:space="preserve">PC </t>
        </is>
      </c>
      <c r="D58" t="inlineStr">
        <is>
          <t>15/32" 4X8 OSB</t>
        </is>
      </c>
      <c r="E58" s="274" t="n">
        <v>-643168</v>
      </c>
      <c r="F58" s="183" t="n">
        <v>475</v>
      </c>
      <c r="G58" s="183" t="n">
        <v>-305504.8</v>
      </c>
      <c r="H58" s="243" t="n"/>
      <c r="I58" s="243" t="n"/>
      <c r="J58" s="243" t="n"/>
      <c r="K58" s="243" t="n"/>
      <c r="L58" s="243" t="n"/>
      <c r="N58" s="203" t="n"/>
    </row>
    <row r="59" ht="14.45" customHeight="1">
      <c r="A59" s="362" t="n"/>
      <c r="B59" s="274" t="n">
        <v>18073</v>
      </c>
      <c r="C59" s="197" t="inlineStr">
        <is>
          <t xml:space="preserve">PC </t>
        </is>
      </c>
      <c r="D59" s="190" t="inlineStr">
        <is>
          <t>7/16" 4X9 OSB</t>
        </is>
      </c>
      <c r="E59" s="274" t="n">
        <v>650628</v>
      </c>
      <c r="F59" s="183" t="n">
        <v>415</v>
      </c>
      <c r="G59" s="183" t="n">
        <v>270010.62</v>
      </c>
      <c r="H59" s="362" t="n"/>
      <c r="I59" s="362" t="n"/>
      <c r="J59" s="362" t="n"/>
      <c r="K59" s="362" t="n"/>
      <c r="L59" s="362" t="n"/>
      <c r="N59" s="203" t="n"/>
    </row>
    <row r="60">
      <c r="A60" s="272" t="inlineStr">
        <is>
          <t>1.13.2026</t>
        </is>
      </c>
      <c r="B60" s="274" t="n">
        <v>-14976</v>
      </c>
      <c r="C60" s="197" t="inlineStr">
        <is>
          <t>LF</t>
        </is>
      </c>
      <c r="D60" s="190" t="inlineStr">
        <is>
          <t>SYP DRY #2/BTR S4S 2X4XR/L</t>
        </is>
      </c>
      <c r="E60" s="274" t="n">
        <v>-9984</v>
      </c>
      <c r="F60" s="183" t="n">
        <v>635</v>
      </c>
      <c r="G60" s="183" t="n">
        <v>-6339.84</v>
      </c>
      <c r="H60" s="273">
        <f>209.66</f>
        <v/>
      </c>
      <c r="I60" s="273">
        <f>G60+G61+H60</f>
        <v/>
      </c>
      <c r="J60" s="293" t="inlineStr">
        <is>
          <t>VPO</t>
        </is>
      </c>
      <c r="K60" s="209" t="n"/>
      <c r="L60" s="368" t="n"/>
      <c r="N60" s="203" t="n"/>
    </row>
    <row r="61">
      <c r="A61" s="362" t="n"/>
      <c r="B61" s="274" t="n">
        <v>1248</v>
      </c>
      <c r="C61" s="197" t="inlineStr">
        <is>
          <t xml:space="preserve">PC </t>
        </is>
      </c>
      <c r="D61" s="190" t="inlineStr">
        <is>
          <t>SYP #2 RED SAFETY RAIL 2X4X12</t>
        </is>
      </c>
      <c r="E61" s="274" t="n">
        <v>9984</v>
      </c>
      <c r="F61" s="183" t="n">
        <v>935</v>
      </c>
      <c r="G61" s="183" t="n">
        <v>9335.040000000001</v>
      </c>
      <c r="H61" s="362" t="n"/>
      <c r="I61" s="362" t="n"/>
      <c r="J61" s="362" t="n"/>
      <c r="K61" s="209" t="n"/>
      <c r="L61" s="362" t="n"/>
      <c r="N61" s="203" t="n"/>
    </row>
    <row r="62">
      <c r="A62" s="272" t="inlineStr">
        <is>
          <t>1.20.2026</t>
        </is>
      </c>
      <c r="B62" s="274" t="n">
        <v>6717</v>
      </c>
      <c r="C62" s="280" t="inlineStr">
        <is>
          <t>LF</t>
        </is>
      </c>
      <c r="D62" s="190" t="inlineStr">
        <is>
          <t>SYP MCA TREATED #2/BTR S4S 2X12XR/L</t>
        </is>
      </c>
      <c r="E62" s="274" t="n">
        <v>13434</v>
      </c>
      <c r="F62" s="183" t="n">
        <v>845</v>
      </c>
      <c r="G62" s="183" t="n">
        <v>11351.73</v>
      </c>
      <c r="H62" s="273" t="n">
        <v>794.62</v>
      </c>
      <c r="I62" s="273">
        <f>G62+H62</f>
        <v/>
      </c>
      <c r="J62" s="293" t="inlineStr">
        <is>
          <t>CO</t>
        </is>
      </c>
      <c r="K62" s="274" t="n"/>
      <c r="L62" s="225" t="n"/>
      <c r="N62" s="203" t="n"/>
    </row>
    <row r="63" ht="14.45" customHeight="1">
      <c r="A63" s="272" t="inlineStr">
        <is>
          <t>1.23.2026</t>
        </is>
      </c>
      <c r="B63" s="314" t="n">
        <v>14</v>
      </c>
      <c r="C63" s="274" t="inlineStr">
        <is>
          <t xml:space="preserve">PC </t>
        </is>
      </c>
      <c r="D63" s="240" t="inlineStr">
        <is>
          <t>SYP MCA TREATED #2/BTR S4S 2X6X24</t>
        </is>
      </c>
      <c r="E63" s="197" t="n">
        <v>336</v>
      </c>
      <c r="F63" s="207" t="n">
        <v>1615</v>
      </c>
      <c r="G63" s="183" t="n">
        <v>542.64</v>
      </c>
      <c r="H63" s="273" t="n">
        <v>1634.95</v>
      </c>
      <c r="I63" s="273">
        <f>G63+G64+G65+H63</f>
        <v/>
      </c>
      <c r="J63" s="293" t="inlineStr">
        <is>
          <t>CO</t>
        </is>
      </c>
      <c r="K63" s="209" t="n"/>
      <c r="L63" s="368" t="n"/>
      <c r="N63" s="203" t="n"/>
    </row>
    <row r="64" ht="14.45" customHeight="1">
      <c r="A64" s="243" t="n"/>
      <c r="B64" s="314" t="n">
        <v>7590</v>
      </c>
      <c r="C64" s="274" t="inlineStr">
        <is>
          <t>LF</t>
        </is>
      </c>
      <c r="D64" s="241" t="inlineStr">
        <is>
          <t>SYP DRY #2/BTR S4S 2X12XR/L</t>
        </is>
      </c>
      <c r="E64" s="197" t="n">
        <v>15180</v>
      </c>
      <c r="F64" s="207" t="n">
        <v>715</v>
      </c>
      <c r="G64" s="183" t="n">
        <v>10853.7</v>
      </c>
      <c r="H64" s="243" t="n"/>
      <c r="I64" s="243" t="n"/>
      <c r="J64" s="243" t="n"/>
      <c r="K64" s="209" t="n"/>
      <c r="L64" s="243" t="n"/>
      <c r="N64" s="203" t="n"/>
    </row>
    <row r="65" ht="14.45" customHeight="1">
      <c r="A65" s="362" t="n"/>
      <c r="B65" s="314" t="n">
        <v>1746</v>
      </c>
      <c r="C65" s="274" t="inlineStr">
        <is>
          <t>LF</t>
        </is>
      </c>
      <c r="D65" s="241" t="inlineStr">
        <is>
          <t>1-3/4X11-7/8 LVL 2.0E 97/18'</t>
        </is>
      </c>
      <c r="E65" s="197" t="n">
        <v>1746</v>
      </c>
      <c r="F65" s="207" t="n">
        <v>6.85</v>
      </c>
      <c r="G65" s="183" t="n">
        <v>11960.1</v>
      </c>
      <c r="H65" s="362" t="n"/>
      <c r="I65" s="362" t="n"/>
      <c r="J65" s="362" t="n"/>
      <c r="K65" s="209" t="n"/>
      <c r="L65" s="362" t="n"/>
      <c r="N65" s="203" t="n"/>
    </row>
    <row r="66">
      <c r="A66" s="272" t="inlineStr">
        <is>
          <t>1.23.2026</t>
        </is>
      </c>
      <c r="B66" s="274" t="n"/>
      <c r="C66" s="301" t="n"/>
      <c r="D66" s="274" t="n"/>
      <c r="E66" s="274" t="n"/>
      <c r="F66" s="183" t="n"/>
      <c r="G66" s="183" t="n">
        <v>-66710.72</v>
      </c>
      <c r="H66" s="273" t="n">
        <v>-4669.75</v>
      </c>
      <c r="I66" s="273">
        <f>G66+H66</f>
        <v/>
      </c>
      <c r="J66" s="293" t="n"/>
      <c r="K66" s="274" t="n"/>
      <c r="L66" s="225" t="n"/>
      <c r="N66" s="203" t="n"/>
    </row>
    <row r="67">
      <c r="A67" s="272" t="inlineStr">
        <is>
          <t>2.10.2026</t>
        </is>
      </c>
      <c r="B67" s="274" t="n">
        <v>8709</v>
      </c>
      <c r="C67" s="197" t="inlineStr">
        <is>
          <t>LF</t>
        </is>
      </c>
      <c r="D67" s="190" t="inlineStr">
        <is>
          <t>SYP MCA TREATED #2/BTR S4S 2X4XR/L</t>
        </is>
      </c>
      <c r="E67" s="274" t="n">
        <v>5806</v>
      </c>
      <c r="F67" s="183" t="n">
        <v>755</v>
      </c>
      <c r="G67" s="183" t="n">
        <v>4383.53</v>
      </c>
      <c r="H67" s="273" t="n">
        <v>306.85</v>
      </c>
      <c r="I67" s="273" t="n">
        <v>4690.38</v>
      </c>
      <c r="J67" s="293" t="inlineStr">
        <is>
          <t>VPO</t>
        </is>
      </c>
      <c r="K67" s="274" t="n"/>
      <c r="L67" s="236" t="n"/>
      <c r="N67" s="203" t="n"/>
    </row>
    <row r="68">
      <c r="A68" s="263" t="inlineStr">
        <is>
          <t>2.10.2026</t>
        </is>
      </c>
      <c r="B68" s="279" t="n">
        <v>64</v>
      </c>
      <c r="C68" s="280" t="inlineStr">
        <is>
          <t xml:space="preserve">PC </t>
        </is>
      </c>
      <c r="D68" s="224" t="inlineStr">
        <is>
          <t>SYP DRY #2/BTR S4S 2X12X18</t>
        </is>
      </c>
      <c r="E68" s="279" t="n">
        <v>2304</v>
      </c>
      <c r="F68" s="257" t="n">
        <v>815</v>
      </c>
      <c r="G68" s="257" t="n">
        <v>1877.76</v>
      </c>
      <c r="H68" s="259" t="n">
        <v>131.44</v>
      </c>
      <c r="I68" s="259">
        <f>G68+H68</f>
        <v/>
      </c>
      <c r="J68" s="296" t="inlineStr">
        <is>
          <t>VPO P</t>
        </is>
      </c>
      <c r="K68" s="279" t="n"/>
      <c r="L68" s="236" t="n"/>
      <c r="N68" s="203" t="n"/>
    </row>
    <row r="69">
      <c r="A69" s="272" t="inlineStr">
        <is>
          <t>02.17.2026</t>
        </is>
      </c>
      <c r="B69" s="200" t="n">
        <v>212</v>
      </c>
      <c r="C69" s="197" t="inlineStr">
        <is>
          <t xml:space="preserve">PC </t>
        </is>
      </c>
      <c r="D69" s="190" t="inlineStr">
        <is>
          <t>TYVEK COMMERCIAL WRAP D</t>
        </is>
      </c>
      <c r="E69" s="274" t="n">
        <v>212</v>
      </c>
      <c r="F69" s="183" t="n">
        <v>365</v>
      </c>
      <c r="G69" s="183" t="n">
        <v>77380</v>
      </c>
      <c r="H69" s="273">
        <f>770.98</f>
        <v/>
      </c>
      <c r="I69" s="273">
        <f>SUM(G69:G71)+H69</f>
        <v/>
      </c>
      <c r="J69" s="293" t="inlineStr">
        <is>
          <t>VPO</t>
        </is>
      </c>
      <c r="K69" s="366" t="n"/>
      <c r="L69" s="225" t="n"/>
      <c r="N69" s="203" t="n"/>
    </row>
    <row r="70">
      <c r="A70" s="243" t="n"/>
      <c r="B70" s="200" t="n">
        <v>-212</v>
      </c>
      <c r="C70" s="197" t="inlineStr">
        <is>
          <t xml:space="preserve">PC </t>
        </is>
      </c>
      <c r="D70" s="190" t="inlineStr">
        <is>
          <t xml:space="preserve">TYVEK COMMERCIAL WRAP </t>
        </is>
      </c>
      <c r="E70" s="274" t="n">
        <v>-212</v>
      </c>
      <c r="F70" s="183" t="n">
        <v>323</v>
      </c>
      <c r="G70" s="183" t="n">
        <v>-68476</v>
      </c>
      <c r="H70" s="243" t="n"/>
      <c r="I70" s="243" t="n"/>
      <c r="J70" s="243" t="n"/>
      <c r="K70" s="366" t="n"/>
      <c r="L70" s="225" t="n"/>
      <c r="N70" s="203" t="n"/>
    </row>
    <row r="71">
      <c r="A71" s="362" t="n"/>
      <c r="B71" s="200" t="n">
        <v>200</v>
      </c>
      <c r="C71" s="197" t="inlineStr">
        <is>
          <t>EA</t>
        </is>
      </c>
      <c r="D71" s="190" t="inlineStr">
        <is>
          <t>MTL HD HEAD FLASHING</t>
        </is>
      </c>
      <c r="E71" s="274" t="n">
        <v>200</v>
      </c>
      <c r="F71" s="183" t="n">
        <v>200</v>
      </c>
      <c r="G71" s="183" t="n">
        <v>2110</v>
      </c>
      <c r="H71" s="362" t="n"/>
      <c r="I71" s="362" t="n"/>
      <c r="J71" s="362" t="n"/>
      <c r="K71" s="366" t="n"/>
      <c r="L71" s="225" t="n"/>
    </row>
    <row r="72">
      <c r="A72" s="264" t="inlineStr">
        <is>
          <t>02.19.2026</t>
        </is>
      </c>
      <c r="B72" s="206" t="n">
        <v>256</v>
      </c>
      <c r="C72" s="280" t="inlineStr">
        <is>
          <t xml:space="preserve">PC </t>
        </is>
      </c>
      <c r="D72" s="224" t="inlineStr">
        <is>
          <t>SYP DRY #2/BTR S4S 1X6X12</t>
        </is>
      </c>
      <c r="E72" s="279" t="n">
        <v>1536</v>
      </c>
      <c r="F72" s="257" t="n">
        <v>1025</v>
      </c>
      <c r="G72" s="257" t="n">
        <v>1574.4</v>
      </c>
      <c r="H72" s="265" t="n">
        <v>110.21</v>
      </c>
      <c r="I72" s="265">
        <f>G72+H72</f>
        <v/>
      </c>
      <c r="J72" s="297" t="inlineStr">
        <is>
          <t>VPO</t>
        </is>
      </c>
      <c r="K72" s="274" t="n"/>
      <c r="L72" s="225" t="n"/>
    </row>
    <row r="73">
      <c r="A73" s="272" t="inlineStr">
        <is>
          <t>2.25.2026</t>
        </is>
      </c>
      <c r="B73" s="274" t="n">
        <v>1080</v>
      </c>
      <c r="C73" s="197" t="inlineStr">
        <is>
          <t>LF</t>
        </is>
      </c>
      <c r="D73" s="190" t="inlineStr">
        <is>
          <t>1-3/4X11-7/8 LVL MCA 60/18'</t>
        </is>
      </c>
      <c r="E73" s="274" t="n">
        <v>1080</v>
      </c>
      <c r="F73" s="183" t="n">
        <v>16</v>
      </c>
      <c r="G73" s="183" t="n">
        <v>17280</v>
      </c>
      <c r="H73" s="273">
        <f>G73*0.07</f>
        <v/>
      </c>
      <c r="I73" s="273">
        <f>G73+H73</f>
        <v/>
      </c>
      <c r="J73" s="293" t="inlineStr">
        <is>
          <t xml:space="preserve">CO </t>
        </is>
      </c>
      <c r="K73" s="206" t="n"/>
      <c r="L73" s="236" t="n"/>
    </row>
    <row r="74">
      <c r="A74" s="272" t="inlineStr">
        <is>
          <t>03.02.2026</t>
        </is>
      </c>
      <c r="B74" s="274" t="n">
        <v>22273</v>
      </c>
      <c r="C74" s="197" t="inlineStr">
        <is>
          <t>LF</t>
        </is>
      </c>
      <c r="D74" s="190" t="inlineStr">
        <is>
          <t>SYP DRY #2/BTR S4S 2X4XR/L</t>
        </is>
      </c>
      <c r="E74" s="274" t="n">
        <v>14849</v>
      </c>
      <c r="F74" s="183" t="n">
        <v>635</v>
      </c>
      <c r="G74" s="183" t="n">
        <v>9428.9</v>
      </c>
      <c r="H74" s="273">
        <f>-1035.17</f>
        <v/>
      </c>
      <c r="I74" s="273">
        <f>SUM(G74:G77)+H74</f>
        <v/>
      </c>
      <c r="J74" s="293" t="inlineStr">
        <is>
          <t>VPO P</t>
        </is>
      </c>
      <c r="K74" s="208">
        <f>G74*1.07</f>
        <v/>
      </c>
      <c r="L74" s="236" t="n"/>
    </row>
    <row r="75">
      <c r="A75" s="243" t="n"/>
      <c r="B75" s="274" t="n">
        <v>-22273</v>
      </c>
      <c r="C75" s="197" t="inlineStr">
        <is>
          <t>LF</t>
        </is>
      </c>
      <c r="D75" s="190" t="inlineStr">
        <is>
          <t>SYP DRY #2/BTR S4S 2X6XR/L</t>
        </is>
      </c>
      <c r="E75" s="274" t="n">
        <v>-22273</v>
      </c>
      <c r="F75" s="183" t="n">
        <v>635</v>
      </c>
      <c r="G75" s="183" t="n">
        <v>-14143.36</v>
      </c>
      <c r="H75" s="243" t="n"/>
      <c r="I75" s="243" t="n"/>
      <c r="J75" s="243" t="n"/>
      <c r="K75" s="208">
        <f>G75*1.07</f>
        <v/>
      </c>
      <c r="L75" s="236" t="n"/>
    </row>
    <row r="76">
      <c r="A76" s="243" t="n"/>
      <c r="B76" s="274" t="n">
        <v>5288</v>
      </c>
      <c r="C76" s="197" t="inlineStr">
        <is>
          <t xml:space="preserve">PC </t>
        </is>
      </c>
      <c r="D76" s="190" t="inlineStr">
        <is>
          <t>SYP DRY #2 STUD PET 104-5/8" 2X4X9</t>
        </is>
      </c>
      <c r="E76" s="274" t="n">
        <v>31728</v>
      </c>
      <c r="F76" s="183" t="n">
        <v>635</v>
      </c>
      <c r="G76" s="183" t="n">
        <v>20147.28</v>
      </c>
      <c r="H76" s="243" t="n"/>
      <c r="I76" s="243" t="n"/>
      <c r="J76" s="243" t="n"/>
      <c r="K76" s="208">
        <f>G76*1.07</f>
        <v/>
      </c>
      <c r="L76" s="236" t="n"/>
    </row>
    <row r="77">
      <c r="A77" s="362" t="n"/>
      <c r="B77" s="274" t="n">
        <v>-5288</v>
      </c>
      <c r="C77" s="197" t="inlineStr">
        <is>
          <t xml:space="preserve">PC </t>
        </is>
      </c>
      <c r="D77" t="inlineStr">
        <is>
          <t>SYP DRY #2 STUD PET 104-5/8" 2X6X9</t>
        </is>
      </c>
      <c r="E77" s="274" t="n">
        <v>-47592</v>
      </c>
      <c r="F77" s="183" t="n">
        <v>635</v>
      </c>
      <c r="G77" s="183" t="n">
        <v>-30220.92</v>
      </c>
      <c r="H77" s="362" t="n"/>
      <c r="I77" s="362" t="n"/>
      <c r="J77" s="362" t="n"/>
      <c r="K77" s="208">
        <f>G77*1.07</f>
        <v/>
      </c>
      <c r="L77" s="236" t="n"/>
    </row>
    <row r="78">
      <c r="A78" s="272" t="inlineStr">
        <is>
          <t>03.03.2026</t>
        </is>
      </c>
      <c r="B78" s="274" t="n">
        <v>624</v>
      </c>
      <c r="C78" s="197" t="inlineStr">
        <is>
          <t xml:space="preserve">PC </t>
        </is>
      </c>
      <c r="D78" s="190" t="inlineStr">
        <is>
          <t>SYP #2 RED SAFETY RAIL 2X4X12</t>
        </is>
      </c>
      <c r="E78" s="274" t="n">
        <v>4992</v>
      </c>
      <c r="F78" s="183" t="n">
        <v>935</v>
      </c>
      <c r="G78" s="183" t="n">
        <v>4667.52</v>
      </c>
      <c r="H78" s="273">
        <f>1062.55</f>
        <v/>
      </c>
      <c r="I78" s="273">
        <f>SUM(G78:G81)+H78</f>
        <v/>
      </c>
      <c r="J78" s="293" t="inlineStr">
        <is>
          <t>VPO</t>
        </is>
      </c>
      <c r="K78" s="204" t="n"/>
      <c r="L78" s="225" t="n"/>
    </row>
    <row r="79">
      <c r="A79" s="243" t="n"/>
      <c r="B79" s="274" t="n">
        <v>1296</v>
      </c>
      <c r="C79" s="197" t="inlineStr">
        <is>
          <t>EA</t>
        </is>
      </c>
      <c r="D79" s="179" t="inlineStr">
        <is>
          <t>DYNAFLEX 800 10.1 OZ</t>
        </is>
      </c>
      <c r="E79" s="274" t="n">
        <v>1296</v>
      </c>
      <c r="F79" s="183" t="n">
        <v>5.5</v>
      </c>
      <c r="G79" s="183" t="n">
        <v>7128</v>
      </c>
      <c r="H79" s="243" t="n"/>
      <c r="I79" s="243" t="n"/>
      <c r="J79" s="243" t="n"/>
      <c r="K79" s="204" t="n"/>
      <c r="L79" s="225" t="n"/>
    </row>
    <row r="80">
      <c r="A80" s="243" t="n"/>
      <c r="B80" s="274" t="n">
        <v>39</v>
      </c>
      <c r="C80" s="197" t="inlineStr">
        <is>
          <t>EA</t>
        </is>
      </c>
      <c r="D80" s="179" t="inlineStr">
        <is>
          <t>6"X50' BT20-XL</t>
        </is>
      </c>
      <c r="E80" s="274" t="n">
        <v>39</v>
      </c>
      <c r="F80" s="183" t="n">
        <v>30</v>
      </c>
      <c r="G80" s="183" t="n">
        <v>1170</v>
      </c>
      <c r="H80" s="243" t="n"/>
      <c r="I80" s="243" t="n"/>
      <c r="J80" s="243" t="n"/>
      <c r="K80" s="204" t="n"/>
      <c r="L80" s="225" t="n"/>
    </row>
    <row r="81">
      <c r="A81" s="362" t="n"/>
      <c r="B81" s="274" t="n">
        <v>35</v>
      </c>
      <c r="C81" s="197" t="inlineStr">
        <is>
          <t>EA</t>
        </is>
      </c>
      <c r="D81" s="179" t="inlineStr">
        <is>
          <t>5-1/2" DUAL GUARD THRESHOLD TA</t>
        </is>
      </c>
      <c r="E81" s="274" t="n">
        <v>35</v>
      </c>
      <c r="F81" s="183" t="n">
        <v>63.25</v>
      </c>
      <c r="G81" s="183" t="n">
        <v>2213.75</v>
      </c>
      <c r="H81" s="362" t="n"/>
      <c r="I81" s="362" t="n"/>
      <c r="J81" s="362" t="n"/>
      <c r="K81" s="204" t="n"/>
      <c r="L81" s="225" t="n"/>
    </row>
    <row r="82">
      <c r="A82" s="264" t="inlineStr">
        <is>
          <t>03.05.2026</t>
        </is>
      </c>
      <c r="B82" s="312" t="n">
        <v>62142</v>
      </c>
      <c r="C82" s="288" t="inlineStr">
        <is>
          <t>LF</t>
        </is>
      </c>
      <c r="D82" s="243" t="inlineStr">
        <is>
          <t>SYP DRY #2/BTR S4S 2X4XR/L</t>
        </is>
      </c>
      <c r="E82" s="238" t="n">
        <v>41428</v>
      </c>
      <c r="F82" s="271" t="n">
        <v>635</v>
      </c>
      <c r="G82" s="205" t="n">
        <v>26306.78</v>
      </c>
      <c r="H82" s="265" t="n">
        <v>1841.47</v>
      </c>
      <c r="I82" s="265">
        <f>G82+H82</f>
        <v/>
      </c>
      <c r="J82" s="297" t="inlineStr">
        <is>
          <t>VPO</t>
        </is>
      </c>
      <c r="K82" s="279" t="n"/>
      <c r="L82" s="236" t="n"/>
    </row>
    <row r="83">
      <c r="A83" s="272" t="inlineStr">
        <is>
          <t>03.12.2026</t>
        </is>
      </c>
      <c r="B83" s="274" t="n">
        <v>-3397</v>
      </c>
      <c r="C83" s="197" t="inlineStr">
        <is>
          <t>EA</t>
        </is>
      </c>
      <c r="D83" s="179" t="inlineStr">
        <is>
          <t>COMPOSITE TREX BASIC 5-1/2X12'</t>
        </is>
      </c>
      <c r="E83" s="274">
        <f>B83</f>
        <v/>
      </c>
      <c r="F83" s="183" t="n">
        <v>27</v>
      </c>
      <c r="G83" s="183" t="n">
        <v>-91719</v>
      </c>
      <c r="H83" s="273" t="n">
        <v>-221.46</v>
      </c>
      <c r="I83" s="273">
        <f>SUM(G83:G86)+H83</f>
        <v/>
      </c>
      <c r="J83" s="293" t="inlineStr">
        <is>
          <t>VPO</t>
        </is>
      </c>
      <c r="K83" s="183">
        <f>G83*1.07</f>
        <v/>
      </c>
      <c r="L83" s="244" t="n"/>
    </row>
    <row r="84">
      <c r="A84" s="243" t="n"/>
      <c r="B84" s="274" t="n">
        <v>2547</v>
      </c>
      <c r="C84" s="197" t="inlineStr">
        <is>
          <t>EA</t>
        </is>
      </c>
      <c r="D84" s="179" t="inlineStr">
        <is>
          <t>COMPOSITE TREX BASIC - SADDLE 5-1/2X16'</t>
        </is>
      </c>
      <c r="E84" s="274">
        <f>B84</f>
        <v/>
      </c>
      <c r="F84" s="183" t="n">
        <v>30.75</v>
      </c>
      <c r="G84" s="183" t="n">
        <v>78320.25</v>
      </c>
      <c r="H84" s="243" t="n"/>
      <c r="I84" s="243" t="n"/>
      <c r="J84" s="243" t="n"/>
      <c r="K84" s="183">
        <f>G84*1.07</f>
        <v/>
      </c>
      <c r="L84" s="244" t="n"/>
    </row>
    <row r="85">
      <c r="A85" s="243" t="n"/>
      <c r="B85" s="274" t="n">
        <v>9</v>
      </c>
      <c r="C85" s="197" t="inlineStr">
        <is>
          <t>EA</t>
        </is>
      </c>
      <c r="D85" s="179" t="inlineStr">
        <is>
          <t>TREX COLOR MATCH SCREWS PAIL</t>
        </is>
      </c>
      <c r="E85" s="274">
        <f>B85</f>
        <v/>
      </c>
      <c r="F85" s="183" t="n">
        <v>460</v>
      </c>
      <c r="G85" s="183" t="n">
        <v>4140</v>
      </c>
      <c r="H85" s="243" t="n"/>
      <c r="I85" s="243" t="n"/>
      <c r="J85" s="243" t="n"/>
      <c r="K85" s="183">
        <f>G85*1.07</f>
        <v/>
      </c>
      <c r="L85" s="244" t="n"/>
    </row>
    <row r="86">
      <c r="A86" s="362" t="n"/>
      <c r="B86" s="274" t="n">
        <v>23</v>
      </c>
      <c r="C86" s="197" t="inlineStr">
        <is>
          <t>EA</t>
        </is>
      </c>
      <c r="D86" s="179" t="inlineStr">
        <is>
          <t>TREX HIDDEN FASTENERS BUCKET</t>
        </is>
      </c>
      <c r="E86" s="274">
        <f>B86</f>
        <v/>
      </c>
      <c r="F86" s="183" t="n">
        <v>265</v>
      </c>
      <c r="G86" s="183" t="n">
        <v>6095</v>
      </c>
      <c r="H86" s="362" t="n"/>
      <c r="I86" s="362" t="n"/>
      <c r="J86" s="362" t="n"/>
      <c r="K86" s="183">
        <f>G86*1.07</f>
        <v/>
      </c>
      <c r="L86" s="244" t="n"/>
    </row>
    <row r="87">
      <c r="A87" s="263" t="inlineStr">
        <is>
          <t>03.13.2026</t>
        </is>
      </c>
      <c r="B87" s="279" t="n">
        <v>34944</v>
      </c>
      <c r="C87" s="280" t="inlineStr">
        <is>
          <t>LF</t>
        </is>
      </c>
      <c r="D87" s="224" t="inlineStr">
        <is>
          <t>SYP DRY #2/BTR S4S 2X4XR/L</t>
        </is>
      </c>
      <c r="E87" s="279" t="n">
        <v>23296</v>
      </c>
      <c r="F87" s="257" t="n">
        <v>635</v>
      </c>
      <c r="G87" s="257" t="n">
        <v>14792.96</v>
      </c>
      <c r="H87" s="259" t="n">
        <v>1035.51</v>
      </c>
      <c r="I87" s="259">
        <f>G87+H87</f>
        <v/>
      </c>
      <c r="J87" s="296" t="inlineStr">
        <is>
          <t>VPO</t>
        </is>
      </c>
      <c r="K87" s="257" t="n"/>
      <c r="L87" s="244" t="n"/>
    </row>
    <row r="88">
      <c r="A88" s="284" t="inlineStr">
        <is>
          <t>03.26.2026</t>
        </is>
      </c>
      <c r="B88" s="274" t="n">
        <v>100</v>
      </c>
      <c r="C88" s="197" t="inlineStr">
        <is>
          <t>EA</t>
        </is>
      </c>
      <c r="D88" s="190" t="inlineStr">
        <is>
          <t>6"X50' BT20-XL</t>
        </is>
      </c>
      <c r="E88" s="274" t="n">
        <v>100</v>
      </c>
      <c r="F88" s="183" t="n">
        <v>30</v>
      </c>
      <c r="G88" s="183" t="n">
        <v>3000</v>
      </c>
      <c r="H88" s="273" t="n">
        <v>472.5</v>
      </c>
      <c r="I88" s="273">
        <f>G88+G89+H88</f>
        <v/>
      </c>
      <c r="J88" s="293" t="inlineStr">
        <is>
          <t>VPO</t>
        </is>
      </c>
      <c r="K88" s="183">
        <f>G88*1.07</f>
        <v/>
      </c>
      <c r="L88" s="181" t="n"/>
    </row>
    <row r="89">
      <c r="A89" s="362" t="n"/>
      <c r="B89" s="274" t="n">
        <v>100</v>
      </c>
      <c r="C89" s="197" t="inlineStr">
        <is>
          <t>EA</t>
        </is>
      </c>
      <c r="D89" s="190" t="inlineStr">
        <is>
          <t>TYVEK FLUID COMPOUND</t>
        </is>
      </c>
      <c r="E89" s="274" t="n">
        <v>100</v>
      </c>
      <c r="F89" s="183" t="n">
        <v>37.5</v>
      </c>
      <c r="G89" s="183" t="n">
        <v>3750</v>
      </c>
      <c r="H89" s="362" t="n"/>
      <c r="I89" s="362" t="n"/>
      <c r="J89" s="362" t="n"/>
      <c r="K89" s="183">
        <f>G89*1.07</f>
        <v/>
      </c>
      <c r="L89" s="181" t="n"/>
    </row>
    <row r="90">
      <c r="A90" s="284" t="inlineStr">
        <is>
          <t>04.02.2026</t>
        </is>
      </c>
      <c r="B90" s="274" t="n">
        <v>831</v>
      </c>
      <c r="C90" s="197" t="inlineStr">
        <is>
          <t>EA</t>
        </is>
      </c>
      <c r="D90" s="190" t="inlineStr">
        <is>
          <t xml:space="preserve">23/32" 4X8 OSB T&amp;G </t>
        </is>
      </c>
      <c r="E90" s="274" t="n">
        <v>26592</v>
      </c>
      <c r="F90" s="183" t="n">
        <v>695</v>
      </c>
      <c r="G90" s="183" t="n">
        <v>18481.44</v>
      </c>
      <c r="H90" s="273" t="n">
        <v>1293.7</v>
      </c>
      <c r="I90" s="273">
        <f>G90+H90</f>
        <v/>
      </c>
      <c r="J90" s="293" t="inlineStr">
        <is>
          <t>VPO</t>
        </is>
      </c>
      <c r="K90" s="183" t="n"/>
      <c r="L90" s="181" t="n"/>
    </row>
    <row r="91">
      <c r="A91" s="286" t="inlineStr">
        <is>
          <t>04.09.2026</t>
        </is>
      </c>
      <c r="B91" s="279" t="n">
        <v>2400</v>
      </c>
      <c r="C91" s="280" t="inlineStr">
        <is>
          <t xml:space="preserve">PC </t>
        </is>
      </c>
      <c r="D91" s="224" t="inlineStr">
        <is>
          <t>SYP DRY #2 STUD PET 104-5/8" 2X6X9</t>
        </is>
      </c>
      <c r="E91" s="279" t="n">
        <v>21600</v>
      </c>
      <c r="F91" s="257" t="n">
        <v>635</v>
      </c>
      <c r="G91" s="257" t="n">
        <v>13716</v>
      </c>
      <c r="H91" s="259" t="n">
        <v>960.12</v>
      </c>
      <c r="I91" s="259">
        <f>G91+H91</f>
        <v/>
      </c>
      <c r="J91" s="296" t="inlineStr">
        <is>
          <t>VPO 16</t>
        </is>
      </c>
      <c r="K91" s="273" t="n"/>
      <c r="L91" s="247" t="n"/>
    </row>
    <row r="92">
      <c r="A92" s="284" t="inlineStr">
        <is>
          <t>4.14.2026</t>
        </is>
      </c>
      <c r="B92" s="274" t="n">
        <v>324</v>
      </c>
      <c r="C92" s="197" t="inlineStr">
        <is>
          <t>LF</t>
        </is>
      </c>
      <c r="D92" s="190" t="inlineStr">
        <is>
          <t>1-3/4X11-7/8 LVL MCA TREATED 18/18</t>
        </is>
      </c>
      <c r="E92" s="274" t="n">
        <v>324</v>
      </c>
      <c r="F92" s="183" t="n">
        <v>16</v>
      </c>
      <c r="G92" s="183" t="n">
        <v>5184</v>
      </c>
      <c r="H92" s="273" t="n">
        <v>362.88</v>
      </c>
      <c r="I92" s="273">
        <f>G92+H92</f>
        <v/>
      </c>
      <c r="J92" s="294" t="inlineStr">
        <is>
          <t>VPO 17</t>
        </is>
      </c>
      <c r="K92" s="183">
        <f>G92*1.07</f>
        <v/>
      </c>
      <c r="L92" s="181" t="n">
        <v>11</v>
      </c>
    </row>
    <row r="93">
      <c r="A93" s="284" t="inlineStr">
        <is>
          <t>4.14.2026</t>
        </is>
      </c>
      <c r="B93" s="274" t="n">
        <v>24</v>
      </c>
      <c r="C93" s="197" t="inlineStr">
        <is>
          <t xml:space="preserve">PC </t>
        </is>
      </c>
      <c r="D93" s="190" t="inlineStr">
        <is>
          <t>23/32" 4X8 PLYWOOD FRT</t>
        </is>
      </c>
      <c r="E93" s="274" t="n">
        <v>768</v>
      </c>
      <c r="F93" s="183" t="n">
        <v>1705</v>
      </c>
      <c r="G93" s="183" t="n">
        <v>1309.44</v>
      </c>
      <c r="H93" s="273" t="n">
        <v>91.66</v>
      </c>
      <c r="I93" s="273">
        <f>G93+H93</f>
        <v/>
      </c>
      <c r="J93" s="294" t="inlineStr">
        <is>
          <t>VPO 18</t>
        </is>
      </c>
      <c r="K93" s="183">
        <f>G93*1.07</f>
        <v/>
      </c>
      <c r="L93" s="181" t="n">
        <v>11</v>
      </c>
    </row>
    <row r="94">
      <c r="A94" s="284" t="inlineStr">
        <is>
          <t>04.21.2026</t>
        </is>
      </c>
      <c r="B94" s="274" t="n">
        <v>32448</v>
      </c>
      <c r="C94" s="197" t="inlineStr">
        <is>
          <t>LF</t>
        </is>
      </c>
      <c r="D94" s="190" t="inlineStr">
        <is>
          <t>SYP DRY #2/BTR S4S 2X4XR/L</t>
        </is>
      </c>
      <c r="E94" s="274" t="n">
        <v>21632</v>
      </c>
      <c r="F94" s="183" t="n">
        <v>685</v>
      </c>
      <c r="G94" s="183" t="n">
        <v>14817.92</v>
      </c>
      <c r="H94" s="273" t="n">
        <v>1204.41</v>
      </c>
      <c r="I94" s="273">
        <f>G94+G95+H94</f>
        <v/>
      </c>
      <c r="J94" s="369" t="inlineStr">
        <is>
          <t>VPO 18</t>
        </is>
      </c>
      <c r="K94" s="183">
        <f>G94*1.07</f>
        <v/>
      </c>
      <c r="L94" s="181" t="n">
        <v>11</v>
      </c>
    </row>
    <row r="95">
      <c r="A95" s="362" t="n"/>
      <c r="B95" s="274" t="n">
        <v>240</v>
      </c>
      <c r="C95" s="197" t="inlineStr">
        <is>
          <t>EA</t>
        </is>
      </c>
      <c r="D95" s="190" t="inlineStr">
        <is>
          <t>DAP SILICONE MAX 10.1 OZ</t>
        </is>
      </c>
      <c r="E95" s="274" t="n">
        <v>240</v>
      </c>
      <c r="F95" s="183" t="n">
        <v>9.949999999999999</v>
      </c>
      <c r="G95" s="183" t="n">
        <v>2388</v>
      </c>
      <c r="H95" s="362" t="n"/>
      <c r="I95" s="362" t="n"/>
      <c r="J95" s="362" t="n"/>
      <c r="K95" s="183">
        <f>G95*1.07</f>
        <v/>
      </c>
      <c r="L95" s="181" t="n">
        <v>11</v>
      </c>
    </row>
    <row r="96">
      <c r="A96" s="284" t="inlineStr">
        <is>
          <t>04.22.2026</t>
        </is>
      </c>
      <c r="B96" s="274" t="n">
        <v>26702</v>
      </c>
      <c r="C96" s="197" t="inlineStr">
        <is>
          <t>LF</t>
        </is>
      </c>
      <c r="D96" s="190" t="inlineStr">
        <is>
          <t xml:space="preserve">SYP DRY #2/BTR S4S 2X6XR/L </t>
        </is>
      </c>
      <c r="E96" s="274" t="n">
        <v>26702</v>
      </c>
      <c r="F96" s="183" t="n">
        <v>635</v>
      </c>
      <c r="G96" s="183" t="n">
        <v>16955.77</v>
      </c>
      <c r="H96" s="273" t="n">
        <v>4274.38</v>
      </c>
      <c r="I96" s="273">
        <f>G96+G97+G98+G99+H96</f>
        <v/>
      </c>
      <c r="J96" s="285" t="inlineStr">
        <is>
          <t>VPO 19</t>
        </is>
      </c>
      <c r="K96" s="183">
        <f>G96*1.07</f>
        <v/>
      </c>
      <c r="L96" s="181" t="inlineStr">
        <is>
          <t>72- Sub-fascia specification changed from 2×10 to 2×6 across all buildings. This CO line item (26,702 LF + 2,688 PC) covers that scope addition.</t>
        </is>
      </c>
    </row>
    <row r="97">
      <c r="A97" s="243" t="n"/>
      <c r="B97" s="274" t="n">
        <v>5163</v>
      </c>
      <c r="C97" s="197" t="inlineStr">
        <is>
          <t xml:space="preserve">PC </t>
        </is>
      </c>
      <c r="D97" s="190" t="inlineStr">
        <is>
          <t>SYP DRY #2 STUD PET 104-5/8" 2X4X9</t>
        </is>
      </c>
      <c r="E97" s="274" t="n">
        <v>30978</v>
      </c>
      <c r="F97" s="183" t="n">
        <v>635</v>
      </c>
      <c r="G97" s="183" t="n">
        <v>19671.03</v>
      </c>
      <c r="H97" s="243" t="n"/>
      <c r="I97" s="243" t="n"/>
      <c r="J97" s="243" t="n"/>
      <c r="K97" s="183">
        <f>G97*1.07</f>
        <v/>
      </c>
      <c r="L97" s="181" t="n">
        <v>11</v>
      </c>
    </row>
    <row r="98">
      <c r="A98" s="243" t="n"/>
      <c r="B98" s="274" t="n">
        <v>2688</v>
      </c>
      <c r="C98" s="197" t="inlineStr">
        <is>
          <t xml:space="preserve">PC </t>
        </is>
      </c>
      <c r="D98" s="190" t="inlineStr">
        <is>
          <t>SYP DRY #2 STUD PET 104-5/8" 2X6X9</t>
        </is>
      </c>
      <c r="E98" s="274" t="n">
        <v>24192</v>
      </c>
      <c r="F98" s="183" t="n">
        <v>635</v>
      </c>
      <c r="G98" s="183" t="n">
        <v>15361.92</v>
      </c>
      <c r="H98" s="243" t="n"/>
      <c r="I98" s="243" t="n"/>
      <c r="J98" s="243" t="n"/>
      <c r="K98" s="183">
        <f>G98*1.07</f>
        <v/>
      </c>
      <c r="L98" s="181">
        <f>L96</f>
        <v/>
      </c>
    </row>
    <row r="99">
      <c r="A99" s="362" t="n"/>
      <c r="B99" s="274" t="n">
        <v>408</v>
      </c>
      <c r="C99" s="197" t="inlineStr">
        <is>
          <t xml:space="preserve">PC </t>
        </is>
      </c>
      <c r="D99" s="190" t="inlineStr">
        <is>
          <t xml:space="preserve">23/32" 4X8 OSB T&amp;G </t>
        </is>
      </c>
      <c r="E99" s="274" t="n">
        <v>13056</v>
      </c>
      <c r="F99" s="183" t="n">
        <v>695</v>
      </c>
      <c r="G99" s="183" t="n">
        <v>9073.92</v>
      </c>
      <c r="H99" s="362" t="n"/>
      <c r="I99" s="362" t="n"/>
      <c r="J99" s="362" t="n"/>
      <c r="K99" s="183">
        <f>G99*1.07</f>
        <v/>
      </c>
      <c r="L99" s="181" t="n">
        <v>11</v>
      </c>
    </row>
    <row r="100">
      <c r="A100" s="289" t="inlineStr">
        <is>
          <t>04.24.2026</t>
        </is>
      </c>
      <c r="B100" s="274" t="n">
        <v>100</v>
      </c>
      <c r="C100" s="197" t="inlineStr">
        <is>
          <t>EA</t>
        </is>
      </c>
      <c r="D100" s="190" t="inlineStr">
        <is>
          <t>MTL HD HEAD FLASHING</t>
        </is>
      </c>
      <c r="E100" s="274" t="n">
        <v>100</v>
      </c>
      <c r="F100" s="183" t="n">
        <v>10.55</v>
      </c>
      <c r="G100" s="183" t="n">
        <v>1055</v>
      </c>
      <c r="H100" s="260" t="n">
        <v>73.84999999999999</v>
      </c>
      <c r="I100" s="260">
        <f>G100+H100</f>
        <v/>
      </c>
      <c r="J100" s="292" t="inlineStr">
        <is>
          <t>VPO 20</t>
        </is>
      </c>
      <c r="K100" s="183">
        <f>G100*1.07</f>
        <v/>
      </c>
      <c r="L100" s="181" t="n">
        <v>11</v>
      </c>
    </row>
    <row r="101">
      <c r="A101" s="289" t="inlineStr">
        <is>
          <t>04.29.2026</t>
        </is>
      </c>
      <c r="B101" s="274" t="n">
        <v>168</v>
      </c>
      <c r="C101" s="197" t="inlineStr">
        <is>
          <t xml:space="preserve">PC </t>
        </is>
      </c>
      <c r="D101" s="190" t="inlineStr">
        <is>
          <t>TYVEK COMMERCIAL WRAP D</t>
        </is>
      </c>
      <c r="E101" s="274" t="n">
        <v>168</v>
      </c>
      <c r="F101" s="183" t="n">
        <v>365</v>
      </c>
      <c r="G101" s="183" t="n">
        <v>61320</v>
      </c>
      <c r="H101" s="260" t="n">
        <v>4292.4</v>
      </c>
      <c r="I101" s="260" t="n">
        <v>65612.39999999999</v>
      </c>
      <c r="J101" s="292" t="inlineStr">
        <is>
          <t>VPO 21</t>
        </is>
      </c>
      <c r="K101" s="183">
        <f>G101*1.07</f>
        <v/>
      </c>
      <c r="L101" s="181" t="n">
        <v>11</v>
      </c>
    </row>
    <row r="102">
      <c r="A102" s="284" t="inlineStr">
        <is>
          <t>04.30.2026</t>
        </is>
      </c>
      <c r="B102" s="274" t="n">
        <v>34944</v>
      </c>
      <c r="C102" s="197" t="inlineStr">
        <is>
          <t>LF</t>
        </is>
      </c>
      <c r="D102" s="190" t="inlineStr">
        <is>
          <t>SYP DRY #2/BTR S4S 2X4XR/L</t>
        </is>
      </c>
      <c r="E102" s="274" t="n">
        <v>23296</v>
      </c>
      <c r="F102" s="183" t="n">
        <v>685</v>
      </c>
      <c r="G102" s="183" t="n">
        <v>15957.76</v>
      </c>
      <c r="H102" s="273" t="n">
        <v>2291.95</v>
      </c>
      <c r="I102" s="273" t="n">
        <v>35034.03</v>
      </c>
      <c r="J102" s="285" t="inlineStr">
        <is>
          <t>VPO 22</t>
        </is>
      </c>
      <c r="K102" s="183">
        <f>G102*1.07</f>
        <v/>
      </c>
      <c r="L102" s="181" t="n">
        <v>11</v>
      </c>
    </row>
    <row r="103">
      <c r="A103" s="243" t="n"/>
      <c r="B103" s="274" t="n">
        <v>4160</v>
      </c>
      <c r="C103" s="197" t="inlineStr">
        <is>
          <t xml:space="preserve">PC </t>
        </is>
      </c>
      <c r="D103" s="190" t="inlineStr">
        <is>
          <t>SYP DRY #2 STUD PET 104-5/8" 2X4X9</t>
        </is>
      </c>
      <c r="E103" s="274" t="n">
        <v>24960</v>
      </c>
      <c r="F103" s="183" t="n">
        <v>635</v>
      </c>
      <c r="G103" s="183" t="n">
        <v>15849.6</v>
      </c>
      <c r="H103" s="243" t="n"/>
      <c r="I103" s="243" t="n"/>
      <c r="J103" s="243" t="n"/>
      <c r="K103" s="183">
        <f>G103*1.07</f>
        <v/>
      </c>
      <c r="L103" s="181" t="n">
        <v>11</v>
      </c>
    </row>
    <row r="104">
      <c r="A104" s="362" t="n"/>
      <c r="B104" s="274" t="n">
        <v>46</v>
      </c>
      <c r="C104" s="197" t="inlineStr">
        <is>
          <t xml:space="preserve">PC </t>
        </is>
      </c>
      <c r="D104" s="190" t="inlineStr">
        <is>
          <t>19/32" 4X8 OSB SE</t>
        </is>
      </c>
      <c r="E104" s="274" t="n">
        <v>1472</v>
      </c>
      <c r="F104" s="183" t="n">
        <v>635</v>
      </c>
      <c r="G104" s="183" t="n">
        <v>934.72</v>
      </c>
      <c r="H104" s="362" t="n"/>
      <c r="I104" s="362" t="n"/>
      <c r="J104" s="362" t="n"/>
      <c r="K104" s="183">
        <f>G104*1.07</f>
        <v/>
      </c>
      <c r="L104" s="181" t="n">
        <v>11</v>
      </c>
    </row>
    <row r="105">
      <c r="A105" s="289" t="inlineStr">
        <is>
          <t>05.04.2026</t>
        </is>
      </c>
      <c r="B105" s="274" t="n">
        <v>1296</v>
      </c>
      <c r="C105" s="197" t="inlineStr">
        <is>
          <t>EA</t>
        </is>
      </c>
      <c r="D105" s="190" t="inlineStr">
        <is>
          <t>DYNAFLEX 800 10.1 OZ</t>
        </is>
      </c>
      <c r="E105" s="274" t="n">
        <v>1296</v>
      </c>
      <c r="F105" s="183" t="n">
        <v>5.5</v>
      </c>
      <c r="G105" s="183" t="n">
        <v>7128</v>
      </c>
      <c r="H105" s="260" t="n">
        <v>498.96</v>
      </c>
      <c r="I105" s="260">
        <f>G105+H105</f>
        <v/>
      </c>
      <c r="J105" s="292" t="inlineStr">
        <is>
          <t>VPO 23</t>
        </is>
      </c>
      <c r="K105" s="183">
        <f>G105*1.07</f>
        <v/>
      </c>
      <c r="L105" s="181" t="n">
        <v>11</v>
      </c>
    </row>
    <row r="106">
      <c r="A106" s="287" t="inlineStr">
        <is>
          <t>05.06.2026</t>
        </is>
      </c>
      <c r="B106" s="279" t="n">
        <v>1270</v>
      </c>
      <c r="C106" s="280" t="inlineStr">
        <is>
          <t xml:space="preserve">PC </t>
        </is>
      </c>
      <c r="D106" s="224" t="inlineStr">
        <is>
          <t>7/16" 4X9 OSB</t>
        </is>
      </c>
      <c r="E106" s="279" t="n">
        <v>45720</v>
      </c>
      <c r="F106" s="257" t="n">
        <v>415</v>
      </c>
      <c r="G106" s="257" t="n">
        <v>18973</v>
      </c>
      <c r="H106" s="265" t="n">
        <v>1328.17</v>
      </c>
      <c r="I106" s="265">
        <f>G106+H106</f>
        <v/>
      </c>
      <c r="J106" s="291" t="inlineStr">
        <is>
          <t>VPO 24</t>
        </is>
      </c>
      <c r="K106" s="257">
        <f>G106*1.07</f>
        <v/>
      </c>
      <c r="L106" s="181" t="n">
        <v>11</v>
      </c>
    </row>
    <row r="107">
      <c r="A107" s="284" t="inlineStr">
        <is>
          <t>05.11.2026</t>
        </is>
      </c>
      <c r="B107" s="274" t="n">
        <v>300</v>
      </c>
      <c r="C107" s="197" t="inlineStr">
        <is>
          <t>EA</t>
        </is>
      </c>
      <c r="D107" s="190" t="inlineStr">
        <is>
          <t>12'X75' TYVEK FLASHING</t>
        </is>
      </c>
      <c r="E107" s="274" t="n">
        <v>300</v>
      </c>
      <c r="F107" s="183" t="n">
        <v>92</v>
      </c>
      <c r="G107" s="183" t="n">
        <v>27600</v>
      </c>
      <c r="H107" s="273" t="n">
        <v>-1596</v>
      </c>
      <c r="I107" s="273">
        <f>H107+G107+G108</f>
        <v/>
      </c>
      <c r="J107" s="285" t="inlineStr">
        <is>
          <t>VPO 15</t>
        </is>
      </c>
      <c r="K107" s="183">
        <f>G107*1.07</f>
        <v/>
      </c>
      <c r="L107" s="181" t="n">
        <v>11</v>
      </c>
    </row>
    <row r="108">
      <c r="A108" s="362" t="n"/>
      <c r="B108" s="274" t="n">
        <v>-300</v>
      </c>
      <c r="C108" s="197" t="inlineStr">
        <is>
          <t>EA</t>
        </is>
      </c>
      <c r="D108" s="190" t="inlineStr">
        <is>
          <t>9"X75' TYVEK FLEX TAPE</t>
        </is>
      </c>
      <c r="E108" s="274" t="n">
        <v>-300</v>
      </c>
      <c r="F108" s="183" t="n">
        <v>168</v>
      </c>
      <c r="G108" s="183" t="n">
        <v>-50400</v>
      </c>
      <c r="H108" s="362" t="n"/>
      <c r="I108" s="362" t="n"/>
      <c r="J108" s="362" t="n"/>
      <c r="K108" s="183">
        <f>G108*1.07</f>
        <v/>
      </c>
      <c r="L108" s="181" t="n">
        <v>11</v>
      </c>
    </row>
    <row r="109">
      <c r="A109" s="284" t="inlineStr">
        <is>
          <t>05.13.2026</t>
        </is>
      </c>
      <c r="B109" s="274" t="n">
        <v>100</v>
      </c>
      <c r="C109" s="197" t="inlineStr">
        <is>
          <t>EA</t>
        </is>
      </c>
      <c r="D109" s="190" t="inlineStr">
        <is>
          <t>MTL HD HEAD FLASHING</t>
        </is>
      </c>
      <c r="E109" s="274" t="n">
        <v>100</v>
      </c>
      <c r="F109" s="183" t="n">
        <v>10.55</v>
      </c>
      <c r="G109" s="183" t="n">
        <v>1055</v>
      </c>
      <c r="H109" s="273">
        <f>G109*0.07</f>
        <v/>
      </c>
      <c r="I109" s="273">
        <f>G109+H109</f>
        <v/>
      </c>
      <c r="J109" s="285" t="inlineStr">
        <is>
          <t>VPO 25</t>
        </is>
      </c>
      <c r="K109" s="183">
        <f>G109*1.07</f>
        <v/>
      </c>
      <c r="L109" s="181" t="n">
        <v>11</v>
      </c>
      <c r="M109" s="181" t="n"/>
    </row>
    <row r="110">
      <c r="A110" s="284" t="inlineStr">
        <is>
          <t>05.13.2026</t>
        </is>
      </c>
      <c r="B110" s="274" t="n">
        <v>44</v>
      </c>
      <c r="C110" s="197" t="inlineStr">
        <is>
          <t>EA</t>
        </is>
      </c>
      <c r="D110" s="190" t="inlineStr">
        <is>
          <t>6"X50' BT20-XL</t>
        </is>
      </c>
      <c r="E110" s="274" t="n">
        <v>44</v>
      </c>
      <c r="F110" s="183" t="n">
        <v>30</v>
      </c>
      <c r="G110" s="183" t="n">
        <v>1320</v>
      </c>
      <c r="H110" s="273" t="n">
        <v>92.40000000000001</v>
      </c>
      <c r="I110" s="273">
        <f>G110+H110</f>
        <v/>
      </c>
      <c r="J110" s="285" t="inlineStr">
        <is>
          <t>VPO 26</t>
        </is>
      </c>
      <c r="K110" s="183">
        <f>G110*1.07</f>
        <v/>
      </c>
      <c r="L110" s="181" t="n">
        <v>11</v>
      </c>
      <c r="M110" t="inlineStr">
        <is>
          <t>Housewrap</t>
        </is>
      </c>
    </row>
    <row r="111">
      <c r="A111" s="284" t="inlineStr">
        <is>
          <t>05.19.2026</t>
        </is>
      </c>
      <c r="B111" s="274" t="n">
        <v>1086</v>
      </c>
      <c r="C111" s="197" t="inlineStr">
        <is>
          <t>EA</t>
        </is>
      </c>
      <c r="D111" s="190" t="inlineStr">
        <is>
          <t>19/32" 4X8 OSB SE</t>
        </is>
      </c>
      <c r="E111" s="274" t="n">
        <v>1086</v>
      </c>
      <c r="F111" s="183" t="n">
        <v>635</v>
      </c>
      <c r="G111" s="183" t="n">
        <v>22067.52</v>
      </c>
      <c r="H111" s="273" t="n">
        <v>1544.73</v>
      </c>
      <c r="I111" s="273">
        <f>G111+H111</f>
        <v/>
      </c>
      <c r="J111" s="285" t="inlineStr">
        <is>
          <t>VPO 27</t>
        </is>
      </c>
      <c r="K111" s="183">
        <f>G111*1.07</f>
        <v/>
      </c>
      <c r="L111" s="181" t="n">
        <v>11</v>
      </c>
    </row>
    <row r="112">
      <c r="A112" s="286" t="inlineStr">
        <is>
          <t>5.20.2026</t>
        </is>
      </c>
      <c r="B112" s="279" t="n">
        <v>208</v>
      </c>
      <c r="C112" s="280" t="inlineStr">
        <is>
          <t>EA</t>
        </is>
      </c>
      <c r="D112" s="224" t="inlineStr">
        <is>
          <t>12'X75' TYVEK FLASHING</t>
        </is>
      </c>
      <c r="E112" s="279" t="n">
        <v>208</v>
      </c>
      <c r="F112" s="257" t="n">
        <v>92</v>
      </c>
      <c r="G112" s="257" t="n">
        <v>19136</v>
      </c>
      <c r="H112" s="259" t="n">
        <v>1339.52</v>
      </c>
      <c r="I112" s="259">
        <f>G112+H112</f>
        <v/>
      </c>
      <c r="J112" s="290" t="inlineStr">
        <is>
          <t>VPO 28</t>
        </is>
      </c>
      <c r="K112" s="257">
        <f>G112*1.07</f>
        <v/>
      </c>
      <c r="L112" s="181" t="n">
        <v>11</v>
      </c>
    </row>
    <row r="113">
      <c r="A113" s="286" t="inlineStr">
        <is>
          <t>06.08.2026</t>
        </is>
      </c>
      <c r="B113" s="274" t="n">
        <v>330</v>
      </c>
      <c r="C113" s="197" t="inlineStr">
        <is>
          <t xml:space="preserve">PC </t>
        </is>
      </c>
      <c r="D113" s="190" t="inlineStr">
        <is>
          <t>19/32" 4X8 OSB SE</t>
        </is>
      </c>
      <c r="E113" s="274" t="n">
        <v>10560</v>
      </c>
      <c r="F113" s="183" t="n">
        <v>635</v>
      </c>
      <c r="G113" s="183" t="n">
        <v>6705.6</v>
      </c>
      <c r="H113" s="259" t="n">
        <v>808.23</v>
      </c>
      <c r="I113" s="259">
        <f>G113+G114+H113</f>
        <v/>
      </c>
      <c r="J113" s="280" t="inlineStr">
        <is>
          <t>VPO 29</t>
        </is>
      </c>
      <c r="K113" s="257">
        <f>G113*1.07</f>
        <v/>
      </c>
      <c r="L113" s="181" t="n">
        <v>11</v>
      </c>
    </row>
    <row r="114">
      <c r="A114" s="243" t="n"/>
      <c r="B114" s="279" t="n">
        <v>324</v>
      </c>
      <c r="C114" s="280" t="inlineStr">
        <is>
          <t xml:space="preserve">PC </t>
        </is>
      </c>
      <c r="D114" s="224" t="inlineStr">
        <is>
          <t>7/16" 4X9 OSB</t>
        </is>
      </c>
      <c r="E114" s="279" t="n">
        <v>11664</v>
      </c>
      <c r="F114" s="257" t="n">
        <v>415</v>
      </c>
      <c r="G114" s="257" t="n">
        <v>4840.56</v>
      </c>
      <c r="H114" s="243" t="n"/>
      <c r="I114" s="243" t="n"/>
      <c r="J114" s="243" t="n"/>
      <c r="K114" s="257">
        <f>G114*1.07</f>
        <v/>
      </c>
      <c r="L114" s="181" t="n">
        <v>11</v>
      </c>
    </row>
    <row r="115">
      <c r="A115" s="284" t="inlineStr">
        <is>
          <t>06.10.2026</t>
        </is>
      </c>
      <c r="B115" s="274" t="n">
        <v>500</v>
      </c>
      <c r="C115" s="197" t="inlineStr">
        <is>
          <t>EA</t>
        </is>
      </c>
      <c r="D115" s="190" t="inlineStr">
        <is>
          <t>MTL HD HEAD FLASHING</t>
        </is>
      </c>
      <c r="E115" s="274">
        <f>B115</f>
        <v/>
      </c>
      <c r="F115" s="183" t="n">
        <v>10.55</v>
      </c>
      <c r="G115" s="183">
        <f>E115*F115</f>
        <v/>
      </c>
      <c r="H115" s="273">
        <f>G115*0.07</f>
        <v/>
      </c>
      <c r="I115" s="273">
        <f>G115+H115</f>
        <v/>
      </c>
      <c r="J115" s="285" t="inlineStr">
        <is>
          <t>VPO 30</t>
        </is>
      </c>
      <c r="K115" s="183">
        <f>G115*1.07</f>
        <v/>
      </c>
      <c r="L115" s="181" t="n">
        <v>11</v>
      </c>
      <c r="M115" s="181" t="n"/>
    </row>
    <row r="116">
      <c r="G116" s="227">
        <f>SUM(G40:G115)</f>
        <v/>
      </c>
      <c r="H116" s="227">
        <f>SUM(H40:H115)</f>
        <v/>
      </c>
      <c r="I116" s="227">
        <f>SUM(I40:I115)</f>
        <v/>
      </c>
      <c r="J116" s="181" t="n"/>
      <c r="O116" s="370" t="n"/>
    </row>
    <row r="117">
      <c r="B117" s="182" t="n"/>
      <c r="C117" s="237" t="n"/>
      <c r="E117" s="252" t="n"/>
      <c r="J117" s="181" t="n"/>
    </row>
    <row r="118">
      <c r="F118" s="252" t="n"/>
      <c r="I118" s="371" t="n"/>
      <c r="J118">
        <f>8198.04-7222.5</f>
        <v/>
      </c>
    </row>
  </sheetData>
  <autoFilter ref="A39:K116"/>
  <mergeCells count="105">
    <mergeCell ref="J60:J61"/>
    <mergeCell ref="H69:H71"/>
    <mergeCell ref="A57:A59"/>
    <mergeCell ref="I63:I65"/>
    <mergeCell ref="K57:K59"/>
    <mergeCell ref="A37:L37"/>
    <mergeCell ref="H83:H86"/>
    <mergeCell ref="I16:I17"/>
    <mergeCell ref="A16:A17"/>
    <mergeCell ref="H55:H56"/>
    <mergeCell ref="H11:H12"/>
    <mergeCell ref="J11:J12"/>
    <mergeCell ref="J83:J86"/>
    <mergeCell ref="J55:J56"/>
    <mergeCell ref="A74:A77"/>
    <mergeCell ref="H88:H89"/>
    <mergeCell ref="L55:L56"/>
    <mergeCell ref="A113:A114"/>
    <mergeCell ref="J20:J23"/>
    <mergeCell ref="H94:H95"/>
    <mergeCell ref="H49:H54"/>
    <mergeCell ref="J49:J54"/>
    <mergeCell ref="L40:L48"/>
    <mergeCell ref="H13:H14"/>
    <mergeCell ref="J94:J95"/>
    <mergeCell ref="I83:I86"/>
    <mergeCell ref="J69:J71"/>
    <mergeCell ref="I107:I108"/>
    <mergeCell ref="I60:I61"/>
    <mergeCell ref="H96:H99"/>
    <mergeCell ref="I40:I48"/>
    <mergeCell ref="J96:J99"/>
    <mergeCell ref="A83:A86"/>
    <mergeCell ref="J88:J89"/>
    <mergeCell ref="I28:I30"/>
    <mergeCell ref="K55:K56"/>
    <mergeCell ref="I102:I104"/>
    <mergeCell ref="H57:H59"/>
    <mergeCell ref="A88:A89"/>
    <mergeCell ref="L63:L65"/>
    <mergeCell ref="A78:A81"/>
    <mergeCell ref="J74:J77"/>
    <mergeCell ref="A5:L5"/>
    <mergeCell ref="J113:J114"/>
    <mergeCell ref="I96:I99"/>
    <mergeCell ref="J57:J59"/>
    <mergeCell ref="I57:I59"/>
    <mergeCell ref="A69:A71"/>
    <mergeCell ref="J28:J30"/>
    <mergeCell ref="H20:H23"/>
    <mergeCell ref="A107:A108"/>
    <mergeCell ref="I11:I12"/>
    <mergeCell ref="A11:A12"/>
    <mergeCell ref="A94:A95"/>
    <mergeCell ref="A8:A10"/>
    <mergeCell ref="J78:J81"/>
    <mergeCell ref="K20:K23"/>
    <mergeCell ref="I49:I54"/>
    <mergeCell ref="A63:A65"/>
    <mergeCell ref="K40:K48"/>
    <mergeCell ref="A49:A54"/>
    <mergeCell ref="A102:A104"/>
    <mergeCell ref="K28:K30"/>
    <mergeCell ref="K11:K12"/>
    <mergeCell ref="H74:H77"/>
    <mergeCell ref="I69:I71"/>
    <mergeCell ref="A28:A30"/>
    <mergeCell ref="J107:J108"/>
    <mergeCell ref="H60:H61"/>
    <mergeCell ref="L57:L59"/>
    <mergeCell ref="H8:H10"/>
    <mergeCell ref="J8:J10"/>
    <mergeCell ref="L60:L61"/>
    <mergeCell ref="A13:A14"/>
    <mergeCell ref="H16:H17"/>
    <mergeCell ref="H63:H65"/>
    <mergeCell ref="I88:I89"/>
    <mergeCell ref="A20:A23"/>
    <mergeCell ref="H102:H104"/>
    <mergeCell ref="I94:I95"/>
    <mergeCell ref="J102:J104"/>
    <mergeCell ref="H113:H114"/>
    <mergeCell ref="K16:K17"/>
    <mergeCell ref="I8:I10"/>
    <mergeCell ref="K8:K10"/>
    <mergeCell ref="H40:H48"/>
    <mergeCell ref="J13:J14"/>
    <mergeCell ref="J40:J48"/>
    <mergeCell ref="I74:I77"/>
    <mergeCell ref="K49:K54"/>
    <mergeCell ref="A60:A61"/>
    <mergeCell ref="H78:H81"/>
    <mergeCell ref="I113:I114"/>
    <mergeCell ref="H28:H30"/>
    <mergeCell ref="A55:A56"/>
    <mergeCell ref="J16:J17"/>
    <mergeCell ref="I55:I56"/>
    <mergeCell ref="I13:I14"/>
    <mergeCell ref="K13:K14"/>
    <mergeCell ref="I20:I23"/>
    <mergeCell ref="A40:A48"/>
    <mergeCell ref="I78:I81"/>
    <mergeCell ref="A96:A99"/>
    <mergeCell ref="H107:H108"/>
    <mergeCell ref="J63:J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83"/>
  <sheetViews>
    <sheetView workbookViewId="0">
      <pane ySplit="2" topLeftCell="A130" activePane="bottomLeft" state="frozen"/>
      <selection pane="bottomLeft" activeCell="M142" sqref="M142"/>
    </sheetView>
  </sheetViews>
  <sheetFormatPr baseColWidth="8" defaultColWidth="9.1328125" defaultRowHeight="12.75" customHeight="1"/>
  <cols>
    <col width="10.265625" customWidth="1" style="329" min="1" max="1"/>
    <col width="8.265625" customWidth="1" style="329" min="2" max="2"/>
    <col width="9.1328125" customWidth="1" style="329" min="3" max="3"/>
    <col width="10.3984375" customWidth="1" style="329" min="4" max="5"/>
    <col width="9.1328125" customWidth="1" style="329" min="6" max="42"/>
    <col width="9.1328125" customWidth="1" style="329" min="43" max="43"/>
    <col width="2.73046875" customWidth="1" style="329" min="44" max="44"/>
    <col width="2" bestFit="1" customWidth="1" style="329" min="45" max="45"/>
    <col width="2.86328125" bestFit="1" customWidth="1" style="329" min="46" max="46"/>
    <col width="6.3984375" bestFit="1" customWidth="1" style="329" min="47" max="47"/>
    <col width="31.59765625" customWidth="1" style="329" min="48" max="48"/>
    <col width="7.265625" bestFit="1" customWidth="1" style="329" min="49" max="49"/>
    <col width="9.1328125" customWidth="1" style="329" min="50" max="50"/>
    <col width="13.265625" customWidth="1" style="4" min="51" max="51"/>
    <col width="13.59765625" customWidth="1" style="4" min="52" max="52"/>
    <col width="14.59765625" bestFit="1" customWidth="1" style="4" min="53" max="53"/>
    <col width="12.265625" customWidth="1" style="329" min="54" max="54"/>
    <col width="13.59765625" customWidth="1" style="329" min="55" max="55"/>
    <col width="9.1328125" customWidth="1" style="329" min="56" max="56"/>
    <col width="12.86328125" bestFit="1" customWidth="1" style="329" min="57" max="57"/>
    <col width="9.1328125" bestFit="1" customWidth="1" style="329" min="58" max="58"/>
    <col width="12.73046875" customWidth="1" style="329" min="59" max="59"/>
    <col width="9.1328125" customWidth="1" style="329" min="60" max="74"/>
    <col width="9.1328125" bestFit="1" customWidth="1" style="329" min="75" max="75"/>
    <col width="9.1328125" customWidth="1" style="329" min="76" max="78"/>
    <col width="8.73046875" customWidth="1" style="329" min="79" max="79"/>
    <col width="9.1328125" customWidth="1" style="329" min="80" max="126"/>
    <col width="9.1328125" customWidth="1" style="329" min="127" max="127"/>
    <col width="10.59765625" bestFit="1" customWidth="1" style="329" min="128" max="128"/>
    <col width="12.59765625" customWidth="1" style="329" min="129" max="129"/>
    <col width="14.1328125" customWidth="1" style="3" min="130" max="130"/>
    <col width="9.3984375" bestFit="1" customWidth="1" style="2" min="131" max="131"/>
    <col width="12.86328125" bestFit="1" customWidth="1" style="329" min="132" max="132"/>
    <col width="15.86328125" customWidth="1" style="329" min="133" max="133"/>
    <col width="10.1328125" bestFit="1" customWidth="1" style="329" min="134" max="134"/>
    <col width="9.1328125" customWidth="1" style="329" min="135" max="135"/>
    <col width="5.59765625" bestFit="1" customWidth="1" style="329" min="136" max="136"/>
    <col width="3.86328125" bestFit="1" customWidth="1" style="329" min="137" max="137"/>
    <col width="9.1328125" customWidth="1" style="329" min="138" max="138"/>
    <col width="8" bestFit="1" customWidth="1" style="329" min="139" max="139"/>
    <col width="4.3984375" bestFit="1" customWidth="1" style="329" min="140" max="140"/>
    <col width="9.1328125" customWidth="1" style="329" min="141" max="142"/>
    <col width="6.3984375" bestFit="1" customWidth="1" style="329" min="143" max="143"/>
    <col width="9.1328125" customWidth="1" style="329" min="144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Club House</t>
        </is>
      </c>
      <c r="D1" s="349" t="inlineStr">
        <is>
          <t>CO 09.17.2025</t>
        </is>
      </c>
      <c r="E1" s="349" t="inlineStr">
        <is>
          <t>CO 11.11.2025</t>
        </is>
      </c>
      <c r="F1" s="349" t="inlineStr">
        <is>
          <t>CO 12.29.2025</t>
        </is>
      </c>
      <c r="G1" s="349" t="inlineStr">
        <is>
          <t>CO 1.12.2026</t>
        </is>
      </c>
      <c r="H1" s="349" t="inlineStr">
        <is>
          <t>CO 1.13.2026</t>
        </is>
      </c>
      <c r="I1" s="349" t="inlineStr">
        <is>
          <t>CO 1.20.2026</t>
        </is>
      </c>
      <c r="J1" s="349" t="inlineStr">
        <is>
          <t>CO 1.23.2026</t>
        </is>
      </c>
      <c r="K1" s="349" t="inlineStr">
        <is>
          <t>CO 1.23.2026</t>
        </is>
      </c>
      <c r="L1" s="349" t="inlineStr">
        <is>
          <t>CO 2.10.2026</t>
        </is>
      </c>
      <c r="M1" s="349" t="inlineStr">
        <is>
          <t>CO 2.10.2026</t>
        </is>
      </c>
      <c r="N1" s="349" t="inlineStr">
        <is>
          <t>CO 2.17.2026</t>
        </is>
      </c>
      <c r="O1" s="349" t="inlineStr">
        <is>
          <t>CO 2.19.2026</t>
        </is>
      </c>
      <c r="P1" s="349" t="inlineStr">
        <is>
          <t>CO 2.25.2026</t>
        </is>
      </c>
      <c r="Q1" s="349" t="inlineStr">
        <is>
          <t>CO 03.02.2026</t>
        </is>
      </c>
      <c r="R1" s="349" t="inlineStr">
        <is>
          <t>CO 03.03.2026</t>
        </is>
      </c>
      <c r="S1" s="349" t="inlineStr">
        <is>
          <t>CO 03.05.2026</t>
        </is>
      </c>
      <c r="T1" s="349" t="inlineStr">
        <is>
          <t>CO 03.12.2026</t>
        </is>
      </c>
      <c r="U1" s="349" t="inlineStr">
        <is>
          <t>CO 03.13.2026</t>
        </is>
      </c>
      <c r="V1" s="349" t="inlineStr">
        <is>
          <t>CO 03.26.2026</t>
        </is>
      </c>
      <c r="W1" s="349" t="inlineStr">
        <is>
          <t>CO 04.02.2026</t>
        </is>
      </c>
      <c r="X1" s="349" t="inlineStr">
        <is>
          <t>CO 04.09.2026</t>
        </is>
      </c>
      <c r="Y1" s="349" t="inlineStr">
        <is>
          <t>CO 04.14.2026</t>
        </is>
      </c>
      <c r="Z1" s="349" t="inlineStr">
        <is>
          <t>CO 04.14.2026</t>
        </is>
      </c>
      <c r="AA1" s="349" t="inlineStr">
        <is>
          <t>CO 04.21.2026</t>
        </is>
      </c>
      <c r="AB1" s="349" t="inlineStr">
        <is>
          <t>CO 04.22.2026</t>
        </is>
      </c>
      <c r="AC1" s="349" t="inlineStr">
        <is>
          <t>CO 04.24.2026</t>
        </is>
      </c>
      <c r="AD1" s="349" t="inlineStr">
        <is>
          <t>CO 04.29.2026</t>
        </is>
      </c>
      <c r="AE1" s="349" t="inlineStr">
        <is>
          <t>CO 04.30.2026</t>
        </is>
      </c>
      <c r="AF1" s="349" t="inlineStr">
        <is>
          <t>CO 05.04.2026</t>
        </is>
      </c>
      <c r="AG1" s="349" t="inlineStr">
        <is>
          <t>CO 05.06.2026</t>
        </is>
      </c>
      <c r="AH1" s="349" t="inlineStr">
        <is>
          <t>CO 05.11.2026</t>
        </is>
      </c>
      <c r="AI1" s="349" t="inlineStr">
        <is>
          <t>CO 05.13.2026</t>
        </is>
      </c>
      <c r="AJ1" s="349" t="inlineStr">
        <is>
          <t>CO 05.13.2026</t>
        </is>
      </c>
      <c r="AK1" s="349" t="inlineStr">
        <is>
          <t>CO 05.19.2026</t>
        </is>
      </c>
      <c r="AL1" s="349" t="inlineStr">
        <is>
          <t>CO 05.20.2026</t>
        </is>
      </c>
      <c r="AM1" s="349" t="inlineStr">
        <is>
          <t>CO 06.08.2026</t>
        </is>
      </c>
      <c r="AN1" s="349" t="inlineStr">
        <is>
          <t>CO 06.10.2026</t>
        </is>
      </c>
      <c r="AO1" s="343" t="n"/>
      <c r="AP1" s="343" t="inlineStr">
        <is>
          <t>CO QTY</t>
        </is>
      </c>
      <c r="AQ1" s="352" t="inlineStr">
        <is>
          <t>PO + CO Qty</t>
        </is>
      </c>
      <c r="AR1" s="349" t="inlineStr">
        <is>
          <t>T</t>
        </is>
      </c>
      <c r="AS1" s="347" t="inlineStr">
        <is>
          <t>x</t>
        </is>
      </c>
      <c r="AT1" s="349" t="inlineStr">
        <is>
          <t>W</t>
        </is>
      </c>
      <c r="AU1" s="349" t="inlineStr">
        <is>
          <t>Length</t>
        </is>
      </c>
      <c r="AV1" s="349" t="inlineStr">
        <is>
          <t>Material Type</t>
        </is>
      </c>
      <c r="AW1" s="349" t="inlineStr">
        <is>
          <t>L/F-Pcs.</t>
        </is>
      </c>
      <c r="AX1" s="349" t="inlineStr">
        <is>
          <t>B/F-S/F</t>
        </is>
      </c>
      <c r="AY1" s="340" t="inlineStr">
        <is>
          <t>Cost/MBF/MSF</t>
        </is>
      </c>
      <c r="AZ1" s="340" t="inlineStr">
        <is>
          <t>Total Cost</t>
        </is>
      </c>
      <c r="BA1" s="340" t="inlineStr">
        <is>
          <t>Total Cost + Tax</t>
        </is>
      </c>
      <c r="BB1" s="349" t="inlineStr">
        <is>
          <t>Invoice #</t>
        </is>
      </c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324" t="n"/>
      <c r="CB1" s="324" t="n"/>
      <c r="CC1" s="324" t="n"/>
      <c r="CD1" s="324" t="n"/>
      <c r="CE1" s="324" t="n"/>
      <c r="CF1" s="324" t="n"/>
      <c r="CG1" s="324" t="n"/>
      <c r="CH1" s="324" t="n"/>
      <c r="CI1" s="324" t="n"/>
      <c r="CJ1" s="324" t="n"/>
      <c r="CK1" s="324" t="n"/>
      <c r="CL1" s="324" t="n"/>
      <c r="CM1" s="324" t="n"/>
      <c r="CN1" s="324" t="n"/>
      <c r="CO1" s="324" t="n"/>
      <c r="CP1" s="324" t="n"/>
      <c r="CQ1" s="324" t="n"/>
      <c r="CR1" s="324" t="n"/>
      <c r="CS1" s="324" t="n"/>
      <c r="CT1" s="324" t="n"/>
      <c r="CU1" s="324" t="n"/>
      <c r="CV1" s="324" t="n"/>
      <c r="CX1" s="24" t="n"/>
      <c r="CY1" s="103" t="n"/>
      <c r="CZ1" s="103" t="n"/>
      <c r="DA1" s="103" t="n"/>
      <c r="DB1" s="103" t="n"/>
      <c r="DC1" s="103" t="n"/>
      <c r="DD1" s="326" t="n"/>
      <c r="DE1" s="326" t="n"/>
      <c r="DF1" s="324" t="n"/>
      <c r="DG1" s="324" t="n"/>
      <c r="DH1" s="324" t="n"/>
      <c r="DI1" s="324" t="n"/>
      <c r="DJ1" s="324" t="n"/>
      <c r="DK1" s="324" t="n"/>
      <c r="DL1" s="324" t="n"/>
      <c r="DM1" s="324" t="n"/>
      <c r="DN1" s="324" t="n"/>
      <c r="DO1" s="324" t="n"/>
      <c r="DP1" s="324" t="n"/>
      <c r="DQ1" s="324" t="n"/>
      <c r="DR1" s="324" t="n"/>
      <c r="DS1" s="324" t="n"/>
      <c r="DT1" s="324" t="n"/>
      <c r="DU1" s="324" t="n"/>
      <c r="DV1" s="344" t="inlineStr">
        <is>
          <t>Total Delivered</t>
        </is>
      </c>
      <c r="DW1" s="346" t="inlineStr">
        <is>
          <t>L/F</t>
        </is>
      </c>
      <c r="DX1" s="336" t="inlineStr">
        <is>
          <t>B/f - S/f Qty</t>
        </is>
      </c>
      <c r="DY1" s="337" t="inlineStr">
        <is>
          <t>Cost</t>
        </is>
      </c>
      <c r="DZ1" s="338" t="inlineStr">
        <is>
          <t>Cost with Tax</t>
        </is>
      </c>
      <c r="EA1" s="339" t="inlineStr">
        <is>
          <t>% Delivery</t>
        </is>
      </c>
      <c r="EB1" s="333" t="inlineStr">
        <is>
          <t>Inventory (in Bundles)</t>
        </is>
      </c>
      <c r="EC1" s="333" t="inlineStr">
        <is>
          <t>UOM</t>
        </is>
      </c>
      <c r="ED1" s="333" t="inlineStr">
        <is>
          <t>PCS/Bundle</t>
        </is>
      </c>
      <c r="EE1" s="333" t="inlineStr">
        <is>
          <t>Inventory in PCS</t>
        </is>
      </c>
      <c r="EF1" s="334" t="inlineStr">
        <is>
          <t>Issues</t>
        </is>
      </c>
      <c r="EG1" s="334" t="inlineStr">
        <is>
          <t>L/F</t>
        </is>
      </c>
      <c r="EH1" s="335" t="inlineStr">
        <is>
          <t>B/f - S/f Qty</t>
        </is>
      </c>
      <c r="EI1" s="327" t="inlineStr">
        <is>
          <t>% Issued</t>
        </is>
      </c>
      <c r="EJ1" s="327" t="inlineStr">
        <is>
          <t>Cost</t>
        </is>
      </c>
      <c r="EK1" s="327" t="inlineStr">
        <is>
          <t>Cost with Tax</t>
        </is>
      </c>
      <c r="EL1" s="328" t="inlineStr">
        <is>
          <t>Variance Code</t>
        </is>
      </c>
      <c r="E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362" t="n"/>
      <c r="Q2" s="362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362" t="n"/>
      <c r="AE2" s="362" t="n"/>
      <c r="AF2" s="362" t="n"/>
      <c r="AG2" s="362" t="n"/>
      <c r="AH2" s="362" t="n"/>
      <c r="AI2" s="362" t="n"/>
      <c r="AJ2" s="362" t="n"/>
      <c r="AK2" s="362" t="n"/>
      <c r="AL2" s="362" t="n"/>
      <c r="AM2" s="362" t="n"/>
      <c r="AN2" s="362" t="n"/>
      <c r="AO2" s="243" t="n"/>
      <c r="AP2" s="243" t="n"/>
      <c r="AQ2" s="362" t="n"/>
      <c r="AR2" s="362" t="n"/>
      <c r="AS2" s="362" t="n"/>
      <c r="AT2" s="362" t="n"/>
      <c r="AU2" s="362" t="n"/>
      <c r="AV2" s="362" t="n"/>
      <c r="AW2" s="362" t="n"/>
      <c r="AX2" s="362" t="n"/>
      <c r="AY2" s="362" t="n"/>
      <c r="AZ2" s="362" t="n"/>
      <c r="BA2" s="362" t="n"/>
      <c r="BB2" s="362" t="n"/>
      <c r="BC2" s="119" t="n">
        <v>45939</v>
      </c>
      <c r="BD2" s="119" t="n">
        <v>45972</v>
      </c>
      <c r="BE2" s="119" t="n">
        <v>45979</v>
      </c>
      <c r="BF2" s="119" t="n">
        <v>46009</v>
      </c>
      <c r="BG2" s="119" t="n">
        <v>46048</v>
      </c>
      <c r="BH2" s="119" t="n">
        <v>46050</v>
      </c>
      <c r="BI2" s="119" t="n">
        <v>46051</v>
      </c>
      <c r="BJ2" s="119" t="n">
        <v>46052</v>
      </c>
      <c r="BK2" s="119" t="n">
        <v>46055</v>
      </c>
      <c r="BL2" s="119" t="n">
        <v>46057</v>
      </c>
      <c r="BM2" s="119" t="n">
        <v>46058</v>
      </c>
      <c r="BN2" s="119" t="n">
        <v>46059</v>
      </c>
      <c r="BO2" s="119" t="n">
        <v>46062</v>
      </c>
      <c r="BP2" s="119" t="n">
        <v>46063</v>
      </c>
      <c r="BQ2" s="119" t="n">
        <v>46064</v>
      </c>
      <c r="BR2" s="119" t="n">
        <v>46065</v>
      </c>
      <c r="BS2" s="119" t="n">
        <v>46066</v>
      </c>
      <c r="BT2" s="119" t="n">
        <v>46070</v>
      </c>
      <c r="BU2" s="119" t="n">
        <v>46071</v>
      </c>
      <c r="BV2" s="119" t="n">
        <v>46072</v>
      </c>
      <c r="BW2" s="119" t="n">
        <v>46076</v>
      </c>
      <c r="BX2" s="119" t="n">
        <v>46077</v>
      </c>
      <c r="BY2" s="119" t="n">
        <v>46078</v>
      </c>
      <c r="BZ2" s="119" t="n">
        <v>46079</v>
      </c>
      <c r="CA2" s="119" t="n">
        <v>46080</v>
      </c>
      <c r="CB2" s="119" t="n">
        <v>46084</v>
      </c>
      <c r="CC2" s="119" t="n">
        <v>46086</v>
      </c>
      <c r="CD2" s="119" t="n">
        <v>46091</v>
      </c>
      <c r="CE2" s="119" t="n">
        <v>46092</v>
      </c>
      <c r="CF2" s="119" t="n">
        <v>46093</v>
      </c>
      <c r="CG2" s="119" t="n">
        <v>46094</v>
      </c>
      <c r="CH2" s="119" t="n">
        <v>46097</v>
      </c>
      <c r="CI2" s="119" t="n">
        <v>46098</v>
      </c>
      <c r="CJ2" s="119" t="n">
        <v>46100</v>
      </c>
      <c r="CK2" s="119" t="n">
        <v>46104</v>
      </c>
      <c r="CL2" s="119" t="n">
        <v>46108</v>
      </c>
      <c r="CM2" s="119" t="n">
        <v>46111</v>
      </c>
      <c r="CN2" s="119" t="n">
        <v>46112</v>
      </c>
      <c r="CO2" s="119" t="n">
        <v>46114</v>
      </c>
      <c r="CP2" s="119" t="n">
        <v>46118</v>
      </c>
      <c r="CQ2" s="119" t="n">
        <v>46119</v>
      </c>
      <c r="CR2" s="119" t="n">
        <v>46120</v>
      </c>
      <c r="CS2" s="119" t="n">
        <v>46121</v>
      </c>
      <c r="CT2" s="119" t="n">
        <v>46122</v>
      </c>
      <c r="CU2" s="119" t="n">
        <v>46125</v>
      </c>
      <c r="CV2" s="119" t="n">
        <v>46126</v>
      </c>
      <c r="CW2" s="122" t="n">
        <v>46127</v>
      </c>
      <c r="CX2" s="121" t="n">
        <v>46128</v>
      </c>
      <c r="CY2" s="121" t="n">
        <v>46129</v>
      </c>
      <c r="CZ2" s="120" t="n">
        <v>46132</v>
      </c>
      <c r="DA2" s="120" t="n">
        <v>46135</v>
      </c>
      <c r="DB2" s="120" t="n">
        <v>46136</v>
      </c>
      <c r="DC2" s="120" t="n">
        <v>46139</v>
      </c>
      <c r="DD2" s="120" t="n">
        <v>46140</v>
      </c>
      <c r="DE2" s="120" t="n">
        <v>46141</v>
      </c>
      <c r="DF2" s="119" t="n">
        <v>46142</v>
      </c>
      <c r="DG2" s="119" t="n">
        <v>46147</v>
      </c>
      <c r="DH2" s="119" t="n">
        <v>46148</v>
      </c>
      <c r="DI2" s="119" t="n">
        <v>46149</v>
      </c>
      <c r="DJ2" s="119" t="n">
        <v>46150</v>
      </c>
      <c r="DK2" s="119" t="n">
        <v>46153</v>
      </c>
      <c r="DL2" s="119" t="n">
        <v>46155</v>
      </c>
      <c r="DM2" s="119" t="n">
        <v>46156</v>
      </c>
      <c r="DN2" s="119" t="n">
        <v>46160</v>
      </c>
      <c r="DO2" s="119" t="n">
        <v>46161</v>
      </c>
      <c r="DP2" s="119" t="n">
        <v>46163</v>
      </c>
      <c r="DQ2" s="119" t="n">
        <v>46164</v>
      </c>
      <c r="DR2" s="119" t="n">
        <v>46168</v>
      </c>
      <c r="DS2" s="119" t="n">
        <v>46171</v>
      </c>
      <c r="DT2" s="119" t="n"/>
      <c r="DU2" s="119" t="n"/>
      <c r="DV2" s="372" t="n"/>
      <c r="DW2" s="373" t="n"/>
      <c r="DX2" s="374" t="n"/>
      <c r="DY2" s="374" t="n"/>
      <c r="DZ2" s="374" t="n"/>
      <c r="EA2" s="374" t="n"/>
      <c r="EB2" s="374" t="n"/>
      <c r="EC2" s="374" t="n"/>
      <c r="ED2" s="374" t="n"/>
      <c r="EE2" s="374" t="n"/>
      <c r="EF2" s="374" t="n"/>
      <c r="EG2" s="374" t="n"/>
      <c r="EH2" s="374" t="n"/>
      <c r="EI2" s="374" t="n"/>
      <c r="EJ2" s="374" t="n"/>
      <c r="EK2" s="374" t="n"/>
      <c r="EL2" s="374" t="n"/>
      <c r="EM2" s="374" t="n"/>
    </row>
    <row r="3" ht="37.5" customFormat="1" customHeight="1" s="12"/>
    <row r="4" ht="81.40000000000001" customFormat="1" customHeight="1" s="12"/>
    <row r="5" ht="13.15" customFormat="1" customHeight="1" s="12"/>
    <row r="6" ht="13.15" customFormat="1" customHeight="1" s="12"/>
    <row r="7" ht="11.65" customFormat="1" customHeight="1" s="12"/>
    <row r="8" ht="23.25" customFormat="1" customHeight="1" s="12"/>
    <row r="9" ht="46.5" customFormat="1" customHeight="1" s="12"/>
    <row r="10" ht="23.25" customFormat="1" customHeight="1" s="12"/>
    <row r="11" ht="34.9" customFormat="1" customHeight="1" s="12"/>
    <row r="12" ht="23.25" customFormat="1" customHeight="1" s="12"/>
    <row r="13" ht="23.25" customFormat="1" customHeight="1" s="12"/>
    <row r="14" ht="11.65" customFormat="1" customHeight="1" s="12"/>
    <row r="15" ht="34.9" customFormat="1" customHeight="1" s="12"/>
    <row r="16" ht="34.9" customFormat="1" customHeight="1" s="12"/>
    <row r="17" ht="11.65" customFormat="1" customHeight="1" s="12"/>
    <row r="18" ht="11.65" customFormat="1" customHeight="1" s="12"/>
    <row r="19" ht="11.65" customFormat="1" customHeight="1" s="12"/>
    <row r="20" ht="11.65" customFormat="1" customHeight="1" s="12"/>
    <row r="21" ht="11.65" customFormat="1" customHeight="1" s="139"/>
    <row r="22" ht="11.65" customFormat="1" customHeight="1" s="12"/>
    <row r="23" ht="11.65" customFormat="1" customHeight="1" s="12"/>
    <row r="24" ht="104.65" customFormat="1" customHeight="1" s="12"/>
    <row r="25" ht="23.25" customFormat="1" customHeight="1" s="12"/>
    <row r="26" ht="23.25" customFormat="1" customHeight="1" s="12"/>
    <row r="27" ht="23.25" customFormat="1" customHeight="1" s="12"/>
    <row r="28" ht="151.15" customFormat="1" customHeight="1" s="12"/>
    <row r="29" ht="11.65" customFormat="1" customHeight="1" s="12"/>
    <row r="30" ht="11.65" customFormat="1" customHeight="1" s="12"/>
    <row r="31" ht="11.65" customFormat="1" customHeight="1" s="12"/>
    <row r="32" ht="11.65" customFormat="1" customHeight="1" s="12"/>
    <row r="33" ht="23.25" customFormat="1" customHeight="1" s="12"/>
    <row r="34" ht="11.65" customFormat="1" customHeight="1" s="12"/>
    <row r="35" ht="23.25" customFormat="1" customHeight="1" s="12"/>
    <row r="36" ht="34.9" customFormat="1" customHeight="1" s="12"/>
    <row r="37" ht="11.65" customFormat="1" customHeight="1" s="12"/>
    <row r="38" ht="11.65" customFormat="1" customHeight="1" s="12"/>
    <row r="39" ht="46.5" customFormat="1" customHeight="1" s="12"/>
    <row r="40" ht="11.65" customFormat="1" customHeight="1" s="12"/>
    <row r="41" ht="11.65" customFormat="1" customHeight="1" s="12"/>
    <row r="42" ht="11.65" customFormat="1" customHeight="1" s="12"/>
    <row r="43" ht="23.25" customFormat="1" customHeight="1" s="12"/>
    <row r="44" ht="11.65" customFormat="1" customHeight="1" s="12"/>
    <row r="45" ht="11.65" customFormat="1" customHeight="1" s="12"/>
    <row r="46" ht="11.65" customFormat="1" customHeight="1" s="12"/>
    <row r="47" ht="11.65" customFormat="1" customHeight="1" s="12"/>
    <row r="48" ht="11.65" customFormat="1" customHeight="1" s="12"/>
    <row r="49" ht="11.65" customFormat="1" customHeight="1" s="12"/>
    <row r="50" ht="11.65" customFormat="1" customHeight="1" s="12"/>
    <row r="51" ht="11.65" customFormat="1" customHeight="1" s="12"/>
    <row r="52" ht="11.65" customFormat="1" customHeight="1" s="12"/>
    <row r="53" ht="186" customFormat="1" customHeight="1" s="12"/>
    <row r="54" ht="225" customFormat="1" customHeight="1" s="12"/>
    <row r="55" ht="11.65" customFormat="1" customHeight="1" s="12"/>
    <row r="56" ht="11.65" customFormat="1" customHeight="1" s="12"/>
    <row r="57" ht="11.65" customFormat="1" customHeight="1" s="12"/>
    <row r="58" ht="11.65" customFormat="1" customHeight="1" s="12"/>
    <row r="59" ht="11.65" customFormat="1" customHeight="1" s="12"/>
    <row r="60" ht="11.65" customFormat="1" customHeight="1" s="12"/>
    <row r="61" ht="11.65" customFormat="1" customHeight="1" s="12"/>
    <row r="62" ht="11.65" customFormat="1" customHeight="1" s="12"/>
    <row r="63" ht="13.15" customFormat="1" customHeight="1" s="106"/>
    <row r="64" ht="12" customFormat="1" customHeight="1" s="24"/>
    <row r="65" ht="12" customFormat="1" customHeight="1" s="12"/>
    <row r="66" ht="12" customFormat="1" customHeight="1" s="12"/>
    <row r="67" ht="12" customFormat="1" customHeight="1" s="12"/>
    <row r="68" ht="12" customFormat="1" customHeight="1" s="12"/>
    <row r="69" ht="13.15" customFormat="1" customHeight="1" s="12"/>
    <row r="70" ht="11.65" customFormat="1" customHeight="1" s="12"/>
    <row r="71" ht="11.65" customFormat="1" customHeight="1" s="12"/>
    <row r="72" ht="11.65" customFormat="1" customHeight="1" s="12"/>
    <row r="73" ht="11.65" customFormat="1" customHeight="1" s="12"/>
    <row r="74" ht="11.65" customFormat="1" customHeight="1" s="12"/>
    <row r="75" ht="11.65" customFormat="1" customHeight="1" s="12"/>
    <row r="76" ht="11.65" customFormat="1" customHeight="1" s="12"/>
    <row r="77" ht="11.65" customFormat="1" customHeight="1" s="12"/>
    <row r="78" ht="11.65" customFormat="1" customHeight="1" s="12"/>
    <row r="79" ht="11.65" customFormat="1" customHeight="1" s="12"/>
    <row r="80" ht="11.65" customFormat="1" customHeight="1" s="12"/>
    <row r="81" ht="11.65" customFormat="1" customHeight="1" s="12"/>
    <row r="82" ht="11.65" customFormat="1" customHeight="1" s="12"/>
    <row r="83" ht="11.65" customFormat="1" customHeight="1" s="12"/>
    <row r="84" ht="11.65" customFormat="1" customHeight="1" s="12"/>
    <row r="85" ht="11.65" customFormat="1" customHeight="1" s="12"/>
    <row r="86" ht="21" customHeight="1"/>
    <row r="87" ht="13.15" customFormat="1" customHeight="1" s="106"/>
    <row r="88" ht="12" customFormat="1" customHeight="1" s="24"/>
    <row r="89" ht="13.15" customFormat="1" customHeight="1" s="12"/>
    <row r="90" ht="23.25" customFormat="1" customHeight="1" s="12"/>
    <row r="91" ht="23.25" customFormat="1" customHeight="1" s="12"/>
    <row r="92" ht="23.25" customFormat="1" customHeight="1" s="12"/>
    <row r="93" ht="11.65" customFormat="1" customHeight="1" s="12"/>
    <row r="94" ht="11.65" customFormat="1" customHeight="1" s="12"/>
    <row r="95" ht="11.65" customFormat="1" customHeight="1" s="12"/>
    <row r="96" ht="11.65" customFormat="1" customHeight="1" s="12"/>
    <row r="97" ht="11.65" customFormat="1" customHeight="1" s="12"/>
    <row r="98" ht="23.25" customFormat="1" customHeight="1" s="12"/>
    <row r="99" ht="11.65" customFormat="1" customHeight="1" s="12"/>
    <row r="100" ht="11.65" customFormat="1" customHeight="1" s="12"/>
    <row r="101" ht="34.9" customFormat="1" customHeight="1" s="12"/>
    <row r="102" ht="23.25" customFormat="1" customHeight="1" s="12"/>
    <row r="103" ht="11.65" customFormat="1" customHeight="1" s="12"/>
    <row r="104" ht="11.65" customFormat="1" customHeight="1" s="94"/>
    <row r="105" ht="12" customFormat="1" customHeight="1" s="24"/>
    <row r="106" ht="117" customFormat="1" customHeight="1" s="12"/>
    <row r="107" ht="11.65" customFormat="1" customHeight="1" s="12"/>
    <row r="108" ht="100.5" customFormat="1" customHeight="1" s="12"/>
    <row r="109" ht="11.65" customFormat="1" customHeight="1" s="12"/>
    <row r="110" ht="11.65" customFormat="1" customHeight="1" s="12"/>
    <row r="111" ht="192.75" customFormat="1" customHeight="1" s="12"/>
    <row r="112" ht="11.65" customFormat="1" customHeight="1" s="12"/>
    <row r="113" ht="11.65" customFormat="1" customHeight="1" s="12"/>
    <row r="114" ht="46.5" customFormat="1" customHeight="1" s="12"/>
    <row r="115" ht="11.65" customFormat="1" customHeight="1" s="12"/>
    <row r="116" ht="11.65" customFormat="1" customHeight="1" s="12"/>
    <row r="117" ht="11.65" customFormat="1" customHeight="1" s="12"/>
    <row r="118" ht="11.65" customFormat="1" customHeight="1" s="12"/>
    <row r="119" ht="11.65" customFormat="1" customHeight="1" s="12"/>
    <row r="120" ht="12" customFormat="1" customHeight="1" s="12" thickBot="1"/>
    <row r="121" ht="12.75" customHeight="1"/>
    <row r="122" ht="12.75" customHeight="1" thickBo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3.15" customHeight="1"/>
    <row r="135" ht="12.75" customHeight="1"/>
    <row r="136" ht="12.75" customHeight="1"/>
    <row r="137" ht="13.1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5" ht="12.75" customHeight="1"/>
    <row r="156" ht="12.75" customHeight="1" thickBot="1"/>
    <row r="157" ht="12.75" customHeight="1"/>
    <row r="158" ht="12.75" customHeight="1"/>
    <row r="159" ht="12.75" customHeight="1"/>
    <row r="160" ht="12.75" customHeight="1"/>
    <row r="161" ht="33" customHeight="1"/>
    <row r="162" ht="12.75" customHeight="1"/>
    <row r="163" ht="34.9" customHeight="1"/>
    <row r="164" ht="23.25" customFormat="1" customHeight="1" s="12"/>
    <row r="165" ht="81.40000000000001" customHeight="1"/>
    <row r="166" ht="12.75" customHeight="1"/>
    <row r="167" ht="12.75" customHeight="1"/>
    <row r="168" ht="23.25" customHeight="1"/>
    <row r="169" ht="12.75" customHeight="1"/>
    <row r="170" ht="34.9" customHeight="1"/>
    <row r="171" ht="12.75" customHeight="1"/>
    <row r="172" ht="12.75" customHeight="1"/>
    <row r="173" ht="12.75" customHeight="1"/>
    <row r="174" ht="12.75" customHeight="1"/>
    <row r="175" ht="13.15" customHeight="1"/>
    <row r="176" ht="13.15" customHeight="1"/>
    <row r="177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6" ht="12.75" customHeight="1"/>
  </sheetData>
  <autoFilter ref="A2:EN2"/>
  <mergeCells count="149">
    <mergeCell ref="AC62:AC63"/>
    <mergeCell ref="AE62:AE63"/>
    <mergeCell ref="DU121:EA122"/>
    <mergeCell ref="C1:C2"/>
    <mergeCell ref="EI62:EI63"/>
    <mergeCell ref="E1:E2"/>
    <mergeCell ref="O1:O2"/>
    <mergeCell ref="DX1:DX2"/>
    <mergeCell ref="Q1:Q2"/>
    <mergeCell ref="AF62:AF63"/>
    <mergeCell ref="EJ1:EJ2"/>
    <mergeCell ref="S62:S63"/>
    <mergeCell ref="DW1:DW2"/>
    <mergeCell ref="AT62:AT63"/>
    <mergeCell ref="EG1:EG2"/>
    <mergeCell ref="EI1:EI2"/>
    <mergeCell ref="D62:D63"/>
    <mergeCell ref="T1:T2"/>
    <mergeCell ref="F62:F63"/>
    <mergeCell ref="P62:P63"/>
    <mergeCell ref="AX62:AX63"/>
    <mergeCell ref="AZ62:AZ63"/>
    <mergeCell ref="Z1:Z2"/>
    <mergeCell ref="AR1:AR2"/>
    <mergeCell ref="AJ1:AJ2"/>
    <mergeCell ref="AT1:AT2"/>
    <mergeCell ref="AL1:AL2"/>
    <mergeCell ref="V62:V63"/>
    <mergeCell ref="AH62:AH63"/>
    <mergeCell ref="DZ62:DZ63"/>
    <mergeCell ref="EL62:EL63"/>
    <mergeCell ref="H1:H2"/>
    <mergeCell ref="J1:J2"/>
    <mergeCell ref="Y62:Y63"/>
    <mergeCell ref="EC1:EC2"/>
    <mergeCell ref="AK62:AK63"/>
    <mergeCell ref="DZ1:DZ2"/>
    <mergeCell ref="DW181:DX181"/>
    <mergeCell ref="K1:K2"/>
    <mergeCell ref="EL1:EL2"/>
    <mergeCell ref="M1:M2"/>
    <mergeCell ref="W1:W2"/>
    <mergeCell ref="G62:G63"/>
    <mergeCell ref="AO62:AO63"/>
    <mergeCell ref="Y1:Y2"/>
    <mergeCell ref="I62:I63"/>
    <mergeCell ref="AQ62:AQ63"/>
    <mergeCell ref="BA62:BA63"/>
    <mergeCell ref="EB62:EB63"/>
    <mergeCell ref="DY62:DY63"/>
    <mergeCell ref="AC1:AC2"/>
    <mergeCell ref="AG1:AG2"/>
    <mergeCell ref="AE1:AE2"/>
    <mergeCell ref="O62:O63"/>
    <mergeCell ref="AW1:AW2"/>
    <mergeCell ref="AO1:AO2"/>
    <mergeCell ref="AY1:AY2"/>
    <mergeCell ref="AQ1:AQ2"/>
    <mergeCell ref="AA62:AA63"/>
    <mergeCell ref="EE62:EE63"/>
    <mergeCell ref="R62:R63"/>
    <mergeCell ref="H62:H63"/>
    <mergeCell ref="J62:J63"/>
    <mergeCell ref="AB62:AB63"/>
    <mergeCell ref="AD62:AD63"/>
    <mergeCell ref="EC62:EC63"/>
    <mergeCell ref="AP62:AP63"/>
    <mergeCell ref="AR62:AR63"/>
    <mergeCell ref="D1:D2"/>
    <mergeCell ref="EE1:EE2"/>
    <mergeCell ref="F1:F2"/>
    <mergeCell ref="AP121:AV122"/>
    <mergeCell ref="P1:P2"/>
    <mergeCell ref="R1:R2"/>
    <mergeCell ref="AB1:AB2"/>
    <mergeCell ref="L62:L63"/>
    <mergeCell ref="AD1:AD2"/>
    <mergeCell ref="AV62:AV63"/>
    <mergeCell ref="EF1:EF2"/>
    <mergeCell ref="V1:V2"/>
    <mergeCell ref="ED62:ED63"/>
    <mergeCell ref="AH1:AH2"/>
    <mergeCell ref="AW62:AW63"/>
    <mergeCell ref="BB1:BB2"/>
    <mergeCell ref="AY62:AY63"/>
    <mergeCell ref="EM62:EM63"/>
    <mergeCell ref="DW179:DX179"/>
    <mergeCell ref="EJ62:EJ63"/>
    <mergeCell ref="AK1:AK2"/>
    <mergeCell ref="U62:U63"/>
    <mergeCell ref="AM1:AM2"/>
    <mergeCell ref="W62:W63"/>
    <mergeCell ref="AG62:AG63"/>
    <mergeCell ref="AI62:AI63"/>
    <mergeCell ref="EH62:EH63"/>
    <mergeCell ref="DV1:DV2"/>
    <mergeCell ref="EK62:EK63"/>
    <mergeCell ref="G1:G2"/>
    <mergeCell ref="I1:I2"/>
    <mergeCell ref="S1:S2"/>
    <mergeCell ref="C62:C63"/>
    <mergeCell ref="BA1:BA2"/>
    <mergeCell ref="U1:U2"/>
    <mergeCell ref="E62:E63"/>
    <mergeCell ref="DX62:DX63"/>
    <mergeCell ref="DY1:DY2"/>
    <mergeCell ref="DW183:DX183"/>
    <mergeCell ref="EK1:EK2"/>
    <mergeCell ref="DW62:DW63"/>
    <mergeCell ref="EH1:EH2"/>
    <mergeCell ref="AA1:AA2"/>
    <mergeCell ref="AS1:AS2"/>
    <mergeCell ref="AU1:AU2"/>
    <mergeCell ref="B62:B63"/>
    <mergeCell ref="T62:T63"/>
    <mergeCell ref="BB62:BB63"/>
    <mergeCell ref="AI1:AI2"/>
    <mergeCell ref="EA62:EA63"/>
    <mergeCell ref="N62:N63"/>
    <mergeCell ref="AN1:AN2"/>
    <mergeCell ref="X62:X63"/>
    <mergeCell ref="EG62:EG63"/>
    <mergeCell ref="AP1:AP2"/>
    <mergeCell ref="Z62:Z63"/>
    <mergeCell ref="AJ62:AJ63"/>
    <mergeCell ref="AL62:AL63"/>
    <mergeCell ref="DV62:DV63"/>
    <mergeCell ref="EA1:EA2"/>
    <mergeCell ref="B1:B2"/>
    <mergeCell ref="EF62:EF63"/>
    <mergeCell ref="L1:L2"/>
    <mergeCell ref="N1:N2"/>
    <mergeCell ref="AF1:AF2"/>
    <mergeCell ref="X1:X2"/>
    <mergeCell ref="A121:AO122"/>
    <mergeCell ref="EB1:EB2"/>
    <mergeCell ref="ED1:ED2"/>
    <mergeCell ref="A62:A63"/>
    <mergeCell ref="EM1:EM2"/>
    <mergeCell ref="AV1:AV2"/>
    <mergeCell ref="K62:K63"/>
    <mergeCell ref="AX1:AX2"/>
    <mergeCell ref="AS62:AS63"/>
    <mergeCell ref="M62:M63"/>
    <mergeCell ref="AZ1:AZ2"/>
    <mergeCell ref="AU62:AU63"/>
    <mergeCell ref="Q62:Q63"/>
    <mergeCell ref="AP155:AV156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78"/>
  <sheetViews>
    <sheetView topLeftCell="X1" workbookViewId="0">
      <pane ySplit="2" topLeftCell="A58" activePane="bottomLeft" state="frozen"/>
      <selection pane="bottomLeft" activeCell="AA77" sqref="AA77"/>
    </sheetView>
  </sheetViews>
  <sheetFormatPr baseColWidth="8" defaultColWidth="9.1328125" defaultRowHeight="12.75" customHeight="1"/>
  <cols>
    <col width="6.59765625" bestFit="1" customWidth="1" style="329" min="1" max="1"/>
    <col width="9.1328125" customWidth="1" style="329" min="2" max="16"/>
    <col width="7.86328125" customWidth="1" style="329" min="17" max="17"/>
    <col width="9.1328125" customWidth="1" style="329" min="18" max="18"/>
    <col width="2.265625" bestFit="1" customWidth="1" style="329" min="19" max="19"/>
    <col width="2" bestFit="1" customWidth="1" style="329" min="20" max="20"/>
    <col width="2.86328125" bestFit="1" customWidth="1" style="329" min="21" max="21"/>
    <col width="6.3984375" bestFit="1" customWidth="1" style="329" min="22" max="22"/>
    <col width="32.265625" customWidth="1" style="329" min="23" max="23"/>
    <col width="7.265625" bestFit="1" customWidth="1" style="329" min="24" max="24"/>
    <col width="7.59765625" bestFit="1" customWidth="1" style="329" min="25" max="25"/>
    <col width="13.1328125" customWidth="1" style="4" min="26" max="26"/>
    <col width="12.1328125" bestFit="1" customWidth="1" style="4" min="27" max="27"/>
    <col width="14.59765625" bestFit="1" customWidth="1" style="4" min="28" max="28"/>
    <col width="8.59765625" customWidth="1" style="329" min="29" max="29"/>
    <col width="9" bestFit="1" customWidth="1" style="329" min="30" max="31"/>
    <col width="8.1328125" bestFit="1" customWidth="1" style="329" min="32" max="33"/>
    <col width="9" bestFit="1" customWidth="1" style="329" min="34" max="38"/>
    <col width="8.1328125" bestFit="1" customWidth="1" style="329" min="39" max="40"/>
    <col width="9.1328125" customWidth="1" style="329" min="41" max="48"/>
    <col width="5.3984375" bestFit="1" customWidth="1" style="329" min="49" max="49"/>
    <col width="10.59765625" bestFit="1" customWidth="1" style="329" min="50" max="50"/>
    <col width="12.3984375" customWidth="1" style="329" min="51" max="51"/>
    <col width="12.3984375" bestFit="1" customWidth="1" style="3" min="52" max="52"/>
    <col width="9.3984375" bestFit="1" customWidth="1" style="2" min="53" max="53"/>
    <col width="9.1328125" customWidth="1" style="329" min="54" max="54"/>
    <col width="5.265625" bestFit="1" customWidth="1" style="329" min="55" max="55"/>
    <col width="10.1328125" bestFit="1" customWidth="1" style="329" min="56" max="56"/>
    <col width="9.1328125" customWidth="1" style="329" min="57" max="57"/>
    <col width="6.265625" customWidth="1" style="329" min="58" max="58"/>
    <col width="5.3984375" customWidth="1" style="329" min="59" max="59"/>
    <col width="9.1328125" customWidth="1" style="329" min="60" max="60"/>
    <col width="8" bestFit="1" customWidth="1" style="329" min="61" max="61"/>
    <col width="11.1328125" customWidth="1" style="329" min="62" max="62"/>
    <col width="14.73046875" customWidth="1" style="329" min="63" max="63"/>
    <col width="9.1328125" customWidth="1" style="329" min="64" max="64"/>
    <col width="6.3984375" bestFit="1" customWidth="1" style="329" min="65" max="65"/>
    <col width="9.1328125" customWidth="1" style="329" min="66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CO 11.21.2025</t>
        </is>
      </c>
      <c r="D1" s="349" t="inlineStr">
        <is>
          <t>CO 11.24.2025</t>
        </is>
      </c>
      <c r="E1" s="349" t="inlineStr">
        <is>
          <t>CO 12.08.2025</t>
        </is>
      </c>
      <c r="F1" s="349" t="inlineStr">
        <is>
          <t>CO 12.10.2025</t>
        </is>
      </c>
      <c r="G1" s="349" t="inlineStr">
        <is>
          <t>CO 12.27.2025</t>
        </is>
      </c>
      <c r="H1" s="349" t="inlineStr">
        <is>
          <t>CO 12.22.2025</t>
        </is>
      </c>
      <c r="I1" s="349" t="inlineStr">
        <is>
          <t>CO 12.22.2025</t>
        </is>
      </c>
      <c r="J1" s="349" t="inlineStr">
        <is>
          <t>CO 12.29.2025</t>
        </is>
      </c>
      <c r="K1" s="349" t="inlineStr">
        <is>
          <t>CO 01.16.2026</t>
        </is>
      </c>
      <c r="L1" s="349" t="inlineStr">
        <is>
          <t>CO 01.23.2026</t>
        </is>
      </c>
      <c r="M1" s="349" t="inlineStr">
        <is>
          <t>CO 01.26.2026</t>
        </is>
      </c>
      <c r="N1" s="349" t="inlineStr">
        <is>
          <t>CO 03.13.2026</t>
        </is>
      </c>
      <c r="O1" s="349" t="inlineStr">
        <is>
          <t>CO 03.09.2026</t>
        </is>
      </c>
      <c r="P1" s="343" t="n"/>
      <c r="Q1" s="343" t="inlineStr">
        <is>
          <t>CO QTY</t>
        </is>
      </c>
      <c r="R1" s="352" t="inlineStr">
        <is>
          <t>PO + CO Qty</t>
        </is>
      </c>
      <c r="S1" s="349" t="inlineStr">
        <is>
          <t>T</t>
        </is>
      </c>
      <c r="T1" s="347" t="inlineStr">
        <is>
          <t>x</t>
        </is>
      </c>
      <c r="U1" s="349" t="inlineStr">
        <is>
          <t>W</t>
        </is>
      </c>
      <c r="V1" s="349" t="inlineStr">
        <is>
          <t>Length</t>
        </is>
      </c>
      <c r="W1" s="349" t="inlineStr">
        <is>
          <t>Material Type</t>
        </is>
      </c>
      <c r="X1" s="349" t="inlineStr">
        <is>
          <t>L/F-Pcs.</t>
        </is>
      </c>
      <c r="Y1" s="349" t="inlineStr">
        <is>
          <t>B/F-S/F</t>
        </is>
      </c>
      <c r="Z1" s="340" t="inlineStr">
        <is>
          <t>Cost/MBF/MSF</t>
        </is>
      </c>
      <c r="AA1" s="340" t="inlineStr">
        <is>
          <t>Total Cost</t>
        </is>
      </c>
      <c r="AB1" s="340" t="inlineStr">
        <is>
          <t>Total Cost + Tax</t>
        </is>
      </c>
      <c r="AC1" s="349" t="inlineStr">
        <is>
          <t>Invoice #</t>
        </is>
      </c>
      <c r="AD1" s="324" t="inlineStr">
        <is>
          <t>Material Delivery Dates</t>
        </is>
      </c>
      <c r="AE1" s="359" t="n"/>
      <c r="AF1" s="359" t="n"/>
      <c r="AG1" s="359" t="n"/>
      <c r="AH1" s="359" t="n"/>
      <c r="AI1" s="359" t="n"/>
      <c r="AJ1" s="359" t="n"/>
      <c r="AK1" s="359" t="n"/>
      <c r="AL1" s="359" t="n"/>
      <c r="AM1" s="359" t="n"/>
      <c r="AN1" s="359" t="n"/>
      <c r="AO1" s="359" t="n"/>
      <c r="AP1" s="359" t="n"/>
      <c r="AQ1" s="359" t="n"/>
      <c r="AR1" s="359" t="n"/>
      <c r="AS1" s="359" t="n"/>
      <c r="AT1" s="359" t="n"/>
      <c r="AU1" s="360" t="n"/>
      <c r="AV1" s="344" t="inlineStr">
        <is>
          <t>Total Delivered</t>
        </is>
      </c>
      <c r="AW1" s="346" t="inlineStr">
        <is>
          <t>L/F</t>
        </is>
      </c>
      <c r="AX1" s="336" t="inlineStr">
        <is>
          <t>B/f - S/f Qty</t>
        </is>
      </c>
      <c r="AY1" s="337" t="inlineStr">
        <is>
          <t>Cost</t>
        </is>
      </c>
      <c r="AZ1" s="338" t="inlineStr">
        <is>
          <t>Cost with Tax</t>
        </is>
      </c>
      <c r="BA1" s="339" t="inlineStr">
        <is>
          <t>% Delivery</t>
        </is>
      </c>
      <c r="BB1" s="333" t="inlineStr">
        <is>
          <t>Inventory (in Bundles)</t>
        </is>
      </c>
      <c r="BC1" s="333" t="inlineStr">
        <is>
          <t>UOM</t>
        </is>
      </c>
      <c r="BD1" s="333" t="inlineStr">
        <is>
          <t>PCS/Bundle</t>
        </is>
      </c>
      <c r="BE1" s="333" t="inlineStr">
        <is>
          <t>Inventory in PCS</t>
        </is>
      </c>
      <c r="BF1" s="334" t="inlineStr">
        <is>
          <t>Issues</t>
        </is>
      </c>
      <c r="BG1" s="334" t="inlineStr">
        <is>
          <t>L/F</t>
        </is>
      </c>
      <c r="BH1" s="335" t="inlineStr">
        <is>
          <t>B/f - S/f Qty</t>
        </is>
      </c>
      <c r="BI1" s="327" t="inlineStr">
        <is>
          <t>% Issued</t>
        </is>
      </c>
      <c r="BJ1" s="327" t="inlineStr">
        <is>
          <t>Cost</t>
        </is>
      </c>
      <c r="BK1" s="327" t="inlineStr">
        <is>
          <t>Cost with Tax</t>
        </is>
      </c>
      <c r="BL1" s="328" t="inlineStr">
        <is>
          <t>Variance Code</t>
        </is>
      </c>
      <c r="B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243" t="n"/>
      <c r="Q2" s="243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119" t="n">
        <v>45981</v>
      </c>
      <c r="AE2" s="119" t="n">
        <v>45987</v>
      </c>
      <c r="AF2" s="119" t="n">
        <v>45994</v>
      </c>
      <c r="AG2" s="119" t="n">
        <v>45999</v>
      </c>
      <c r="AH2" s="119" t="n">
        <v>46001</v>
      </c>
      <c r="AI2" s="119" t="n">
        <v>46006</v>
      </c>
      <c r="AJ2" s="119" t="n">
        <v>46009</v>
      </c>
      <c r="AK2" s="119" t="n">
        <v>46013</v>
      </c>
      <c r="AL2" s="119" t="n">
        <v>46387</v>
      </c>
      <c r="AM2" s="119" t="n">
        <v>46042</v>
      </c>
      <c r="AN2" s="119" t="n">
        <v>46050</v>
      </c>
      <c r="AO2" s="119" t="n">
        <v>46098</v>
      </c>
      <c r="AP2" s="119" t="n">
        <v>46041</v>
      </c>
      <c r="AQ2" s="119" t="n">
        <v>45968</v>
      </c>
      <c r="AR2" s="119" t="n">
        <v>45967</v>
      </c>
      <c r="AS2" s="119" t="n">
        <v>45974</v>
      </c>
      <c r="AT2" s="119" t="n">
        <v>45978</v>
      </c>
      <c r="AU2" s="119" t="n">
        <v>45979</v>
      </c>
      <c r="AV2" s="372" t="n"/>
      <c r="AW2" s="373" t="n"/>
      <c r="AX2" s="374" t="n"/>
      <c r="AY2" s="374" t="n"/>
      <c r="AZ2" s="374" t="n"/>
      <c r="BA2" s="374" t="n"/>
      <c r="BB2" s="374" t="n"/>
      <c r="BC2" s="374" t="n"/>
      <c r="BD2" s="374" t="n"/>
      <c r="BE2" s="374" t="n"/>
      <c r="BF2" s="374" t="n"/>
      <c r="BG2" s="374" t="n"/>
      <c r="BH2" s="374" t="n"/>
      <c r="BI2" s="374" t="n"/>
      <c r="BJ2" s="374" t="n"/>
      <c r="BK2" s="374" t="n"/>
      <c r="BL2" s="374" t="n"/>
      <c r="BM2" s="374" t="n"/>
      <c r="BN2" s="386" t="n">
        <v>45986</v>
      </c>
      <c r="BO2" s="386" t="n">
        <v>46010</v>
      </c>
      <c r="BP2" s="386" t="n">
        <v>46020</v>
      </c>
    </row>
    <row r="3" ht="11.65" customFormat="1" customHeight="1" s="12">
      <c r="A3" t="inlineStr">
        <is>
          <t>Lumber</t>
        </is>
      </c>
      <c r="B3" t="n">
        <v>5</v>
      </c>
      <c r="R3" t="n">
        <v>5</v>
      </c>
      <c r="S3" t="n">
        <v>6</v>
      </c>
      <c r="U3" t="n">
        <v>6</v>
      </c>
      <c r="V3" t="n">
        <v>10</v>
      </c>
      <c r="W3" t="inlineStr">
        <is>
          <t>PT</t>
        </is>
      </c>
      <c r="Z3" t="n">
        <v>1145</v>
      </c>
      <c r="AA3">
        <f>(B3*S3*U3*V3/12)*Z3/1000</f>
        <v/>
      </c>
      <c r="AV3">
        <f>SUM(AD3:BP3)</f>
        <v/>
      </c>
      <c r="AW3">
        <f>AV3*V3</f>
        <v/>
      </c>
      <c r="AX3">
        <f>AV3*S3*U3*V3/12</f>
        <v/>
      </c>
      <c r="AY3">
        <f>AX3*Z3/1000</f>
        <v/>
      </c>
      <c r="AZ3">
        <f>AY3*1.06</f>
        <v/>
      </c>
      <c r="BA3">
        <f>IFERROR(AY3/AA3,0)</f>
        <v/>
      </c>
      <c r="BE3">
        <f>IF(BB3&lt;&gt;"",BB3*BD3,0)</f>
        <v/>
      </c>
      <c r="BF3">
        <f>AV3-BE3</f>
        <v/>
      </c>
      <c r="BG3">
        <f>BF3*V3</f>
        <v/>
      </c>
      <c r="BH3">
        <f>(BF3*S3*U3*V3)/12</f>
        <v/>
      </c>
      <c r="BI3">
        <f>IFERROR(BH3/AV3,0)</f>
        <v/>
      </c>
      <c r="BJ3">
        <f>IFERROR(BH3*Z3/1000,0)</f>
        <v/>
      </c>
      <c r="BK3">
        <f>BJ3*1.06</f>
        <v/>
      </c>
    </row>
    <row r="4" ht="11.65" customFormat="1" customHeight="1" s="12">
      <c r="A4" t="inlineStr">
        <is>
          <t>Lumber</t>
        </is>
      </c>
      <c r="B4" t="n">
        <v>2922</v>
      </c>
      <c r="R4" t="n">
        <v>2922</v>
      </c>
      <c r="S4" t="n">
        <v>2</v>
      </c>
      <c r="U4" t="n">
        <v>4</v>
      </c>
      <c r="V4" t="n">
        <v>1</v>
      </c>
      <c r="W4" t="inlineStr">
        <is>
          <t>PT</t>
        </is>
      </c>
      <c r="Z4" t="n">
        <v>785</v>
      </c>
      <c r="AA4">
        <f>(B4*S4*U4*V4/12)*Z4/1000</f>
        <v/>
      </c>
      <c r="AV4">
        <f>SUM(AD4:BP4)</f>
        <v/>
      </c>
      <c r="AW4">
        <f>AV4*V4</f>
        <v/>
      </c>
      <c r="AX4">
        <f>AV4*S4*U4*V4/12</f>
        <v/>
      </c>
      <c r="AY4">
        <f>AX4*Z4/1000</f>
        <v/>
      </c>
      <c r="AZ4">
        <f>AY4*1.06</f>
        <v/>
      </c>
      <c r="BA4">
        <f>IFERROR(AY4/AA4,0)</f>
        <v/>
      </c>
      <c r="BE4">
        <f>IF(BB4&lt;&gt;"",BB4*BD4,0)</f>
        <v/>
      </c>
      <c r="BF4">
        <f>AV4-BE4</f>
        <v/>
      </c>
      <c r="BG4">
        <f>BF4*V4</f>
        <v/>
      </c>
      <c r="BH4">
        <f>(BF4*S4*U4*V4)/12</f>
        <v/>
      </c>
      <c r="BI4">
        <f>IFERROR(BH4/AV4,0)</f>
        <v/>
      </c>
      <c r="BJ4">
        <f>IFERROR(BH4*Z4/1000,0)</f>
        <v/>
      </c>
      <c r="BK4">
        <f>BJ4*1.06</f>
        <v/>
      </c>
    </row>
    <row r="5" ht="34.9" customFormat="1" customHeight="1" s="12">
      <c r="A5" t="inlineStr">
        <is>
          <t>Lumber</t>
        </is>
      </c>
      <c r="B5" t="n">
        <v>5</v>
      </c>
      <c r="R5" t="n">
        <v>5</v>
      </c>
      <c r="S5" t="n">
        <v>2</v>
      </c>
      <c r="U5" t="n">
        <v>4</v>
      </c>
      <c r="V5" t="n">
        <v>10</v>
      </c>
      <c r="W5" t="inlineStr">
        <is>
          <t>PT</t>
        </is>
      </c>
      <c r="Z5" t="n">
        <v>785</v>
      </c>
      <c r="AA5">
        <f>(B5*S5*U5*V5/12)*Z5/1000</f>
        <v/>
      </c>
      <c r="AV5">
        <f>SUM(AD5:BP5)</f>
        <v/>
      </c>
      <c r="AW5">
        <f>AV5*V5</f>
        <v/>
      </c>
      <c r="AX5">
        <f>AV5*S5*U5*V5/12</f>
        <v/>
      </c>
      <c r="AY5">
        <f>AX5*Z5/1000</f>
        <v/>
      </c>
      <c r="AZ5">
        <f>AY5*1.06</f>
        <v/>
      </c>
      <c r="BA5">
        <f>IFERROR(AY5/AA5,0)</f>
        <v/>
      </c>
      <c r="BE5">
        <f>IF(BB5&lt;&gt;"",BB5*BD5,0)</f>
        <v/>
      </c>
      <c r="BF5">
        <f>AV5-BE5</f>
        <v/>
      </c>
      <c r="BG5">
        <f>BF5*V5</f>
        <v/>
      </c>
      <c r="BH5">
        <f>(BF5*S5*U5*V5)/12</f>
        <v/>
      </c>
      <c r="BI5">
        <f>IFERROR(BH5/AV5,0)</f>
        <v/>
      </c>
      <c r="BJ5">
        <f>IFERROR(BH5*Z5/1000,0)</f>
        <v/>
      </c>
      <c r="BK5">
        <f>BJ5*1.06</f>
        <v/>
      </c>
    </row>
    <row r="6" ht="23.25" customFormat="1" customHeight="1" s="12">
      <c r="A6" t="inlineStr">
        <is>
          <t>Lumber</t>
        </is>
      </c>
      <c r="B6" t="n">
        <v>2846</v>
      </c>
      <c r="R6" t="n">
        <v>2846</v>
      </c>
      <c r="S6" t="n">
        <v>2</v>
      </c>
      <c r="U6" t="n">
        <v>6</v>
      </c>
      <c r="V6" t="n">
        <v>1</v>
      </c>
      <c r="W6" t="inlineStr">
        <is>
          <t>PT</t>
        </is>
      </c>
      <c r="Z6" t="n">
        <v>785</v>
      </c>
      <c r="AA6">
        <f>(B6*S6*U6*V6/12)*Z6/1000</f>
        <v/>
      </c>
      <c r="AV6">
        <f>SUM(AD6:BP6)</f>
        <v/>
      </c>
      <c r="AW6">
        <f>AV6*V6</f>
        <v/>
      </c>
      <c r="AX6">
        <f>AV6*S6*U6*V6/12</f>
        <v/>
      </c>
      <c r="AY6">
        <f>AX6*Z6/1000</f>
        <v/>
      </c>
      <c r="AZ6">
        <f>AY6*1.06</f>
        <v/>
      </c>
      <c r="BA6">
        <f>IFERROR(AY6/AA6,0)</f>
        <v/>
      </c>
      <c r="BE6">
        <f>IF(BB6&lt;&gt;"",BB6*BD6,0)</f>
        <v/>
      </c>
      <c r="BF6">
        <f>AV6-BE6</f>
        <v/>
      </c>
      <c r="BG6">
        <f>BF6*V6</f>
        <v/>
      </c>
      <c r="BH6">
        <f>(BF6*S6*U6*V6)/12</f>
        <v/>
      </c>
      <c r="BI6">
        <f>IFERROR(BH6/AV6,0)</f>
        <v/>
      </c>
      <c r="BJ6">
        <f>IFERROR(BH6*Z6/1000,0)</f>
        <v/>
      </c>
      <c r="BK6">
        <f>BJ6*1.06</f>
        <v/>
      </c>
    </row>
    <row r="7" ht="23.25" customFormat="1" customHeight="1" s="12">
      <c r="A7" t="inlineStr">
        <is>
          <t>Lumber</t>
        </is>
      </c>
      <c r="B7" t="n">
        <v>378</v>
      </c>
      <c r="R7" t="n">
        <v>378</v>
      </c>
      <c r="S7" t="n">
        <v>2</v>
      </c>
      <c r="U7" t="n">
        <v>8</v>
      </c>
      <c r="V7" t="n">
        <v>1</v>
      </c>
      <c r="W7" t="inlineStr">
        <is>
          <t>PT</t>
        </is>
      </c>
      <c r="Z7" t="n">
        <v>815</v>
      </c>
      <c r="AA7">
        <f>(B7*S7*U7*V7/12)*Z7/1000</f>
        <v/>
      </c>
      <c r="AV7">
        <f>SUM(AD7:BP7)</f>
        <v/>
      </c>
      <c r="AW7">
        <f>AV7*V7</f>
        <v/>
      </c>
      <c r="AX7">
        <f>AV7*S7*U7*V7/12</f>
        <v/>
      </c>
      <c r="AY7">
        <f>AX7*Z7/1000</f>
        <v/>
      </c>
      <c r="AZ7">
        <f>AY7*1.06</f>
        <v/>
      </c>
      <c r="BA7">
        <f>IFERROR(AY7/AA7,0)</f>
        <v/>
      </c>
      <c r="BE7">
        <f>IF(BB7&lt;&gt;"",BB7*BD7,0)</f>
        <v/>
      </c>
      <c r="BF7">
        <f>AV7-BE7</f>
        <v/>
      </c>
      <c r="BG7">
        <f>BF7*V7</f>
        <v/>
      </c>
      <c r="BH7">
        <f>(BF7*S7*U7*V7)/12</f>
        <v/>
      </c>
      <c r="BI7">
        <f>IFERROR(BH7/AV7,0)</f>
        <v/>
      </c>
      <c r="BJ7">
        <f>IFERROR(BH7*Z7/1000,0)</f>
        <v/>
      </c>
      <c r="BK7">
        <f>BJ7*1.06</f>
        <v/>
      </c>
    </row>
    <row r="8" ht="46.5" customFormat="1" customHeight="1" s="12">
      <c r="A8" t="inlineStr">
        <is>
          <t>Lumber</t>
        </is>
      </c>
      <c r="B8" t="n">
        <v>51980</v>
      </c>
      <c r="R8" t="n">
        <v>51980</v>
      </c>
      <c r="S8" t="n">
        <v>2</v>
      </c>
      <c r="U8" t="n">
        <v>4</v>
      </c>
      <c r="V8" t="n">
        <v>1</v>
      </c>
      <c r="W8" t="inlineStr">
        <is>
          <t>SYP #2</t>
        </is>
      </c>
      <c r="Z8" t="n">
        <v>515</v>
      </c>
      <c r="AA8">
        <f>(B8*S8*U8*V8/12)*Z8/1000</f>
        <v/>
      </c>
      <c r="AV8">
        <f>SUM(AD8:BP8)</f>
        <v/>
      </c>
      <c r="AW8">
        <f>AV8*V8</f>
        <v/>
      </c>
      <c r="AX8">
        <f>AV8*S8*U8*V8/12</f>
        <v/>
      </c>
      <c r="AY8">
        <f>AX8*Z8/1000</f>
        <v/>
      </c>
      <c r="AZ8">
        <f>AY8*1.06</f>
        <v/>
      </c>
      <c r="BA8">
        <f>IFERROR(AY8/AA8,0)</f>
        <v/>
      </c>
      <c r="BE8">
        <f>IF(BB8&lt;&gt;"",BB8*BD8,0)</f>
        <v/>
      </c>
      <c r="BF8">
        <f>AV8-BE8</f>
        <v/>
      </c>
      <c r="BG8">
        <f>BF8*V8</f>
        <v/>
      </c>
      <c r="BH8">
        <f>(BF8*S8*U8*V8)/12</f>
        <v/>
      </c>
      <c r="BI8">
        <f>IFERROR(BH8/AV8,0)</f>
        <v/>
      </c>
      <c r="BJ8">
        <f>IFERROR(BH8*Z8/1000,0)</f>
        <v/>
      </c>
      <c r="BK8">
        <f>BJ8*1.06</f>
        <v/>
      </c>
    </row>
    <row r="9" ht="11.65" customFormat="1" customHeight="1" s="12">
      <c r="A9" t="inlineStr">
        <is>
          <t>Lumber</t>
        </is>
      </c>
      <c r="B9" t="n">
        <v>1175</v>
      </c>
      <c r="R9" t="n">
        <v>1175</v>
      </c>
      <c r="S9" t="n">
        <v>2</v>
      </c>
      <c r="U9" t="n">
        <v>4</v>
      </c>
      <c r="V9" t="n">
        <v>1</v>
      </c>
      <c r="W9" t="inlineStr">
        <is>
          <t>SYP #2</t>
        </is>
      </c>
      <c r="Z9" t="n">
        <v>515</v>
      </c>
      <c r="AA9">
        <f>(B9*S9*U9*V9/12)*Z9/1000</f>
        <v/>
      </c>
      <c r="AV9">
        <f>SUM(AD9:BP9)</f>
        <v/>
      </c>
      <c r="AW9">
        <f>AV9*V9</f>
        <v/>
      </c>
      <c r="AX9">
        <f>AV9*S9*U9*V9/12</f>
        <v/>
      </c>
      <c r="AY9">
        <f>AX9*Z9/1000</f>
        <v/>
      </c>
      <c r="AZ9">
        <f>AY9*1.06</f>
        <v/>
      </c>
      <c r="BA9">
        <f>IFERROR(AY9/AA9,0)</f>
        <v/>
      </c>
      <c r="BE9">
        <f>IF(BB9&lt;&gt;"",BB9*BD9,0)</f>
        <v/>
      </c>
      <c r="BF9">
        <f>AV9-BE9</f>
        <v/>
      </c>
      <c r="BG9">
        <f>BF9*V9</f>
        <v/>
      </c>
      <c r="BH9">
        <f>(BF9*S9*U9*V9)/12</f>
        <v/>
      </c>
      <c r="BI9">
        <f>IFERROR(BH9/AV9,0)</f>
        <v/>
      </c>
      <c r="BJ9">
        <f>IFERROR(BH9*Z9/1000,0)</f>
        <v/>
      </c>
      <c r="BK9">
        <f>BJ9*1.06</f>
        <v/>
      </c>
    </row>
    <row r="10" ht="11.65" customFormat="1" customHeight="1" s="12">
      <c r="A10" t="inlineStr">
        <is>
          <t>Lumber</t>
        </is>
      </c>
      <c r="B10" t="n">
        <v>478</v>
      </c>
      <c r="R10" t="n">
        <v>478</v>
      </c>
      <c r="S10" t="n">
        <v>2</v>
      </c>
      <c r="U10" t="n">
        <v>4</v>
      </c>
      <c r="V10" t="n">
        <v>12</v>
      </c>
      <c r="W10" t="inlineStr">
        <is>
          <t>SYP #2</t>
        </is>
      </c>
      <c r="Z10" t="n">
        <v>515</v>
      </c>
      <c r="AA10">
        <f>(B10*S10*U10*V10/12)*Z10/1000</f>
        <v/>
      </c>
      <c r="AV10">
        <f>SUM(AD10:BP10)</f>
        <v/>
      </c>
      <c r="AW10">
        <f>AV10*V10</f>
        <v/>
      </c>
      <c r="AX10">
        <f>AV10*S10*U10*V10/12</f>
        <v/>
      </c>
      <c r="AY10">
        <f>AX10*Z10/1000</f>
        <v/>
      </c>
      <c r="AZ10">
        <f>AY10*1.06</f>
        <v/>
      </c>
      <c r="BA10">
        <f>IFERROR(AY10/AA10,0)</f>
        <v/>
      </c>
      <c r="BE10">
        <f>IF(BB10&lt;&gt;"",BB10*BD10,0)</f>
        <v/>
      </c>
      <c r="BF10">
        <f>AV10-BE10</f>
        <v/>
      </c>
      <c r="BG10">
        <f>BF10*V10</f>
        <v/>
      </c>
      <c r="BH10">
        <f>(BF10*S10*U10*V10)/12</f>
        <v/>
      </c>
      <c r="BI10">
        <f>IFERROR(BH10/AV10,0)</f>
        <v/>
      </c>
      <c r="BJ10">
        <f>IFERROR(BH10*Z10/1000,0)</f>
        <v/>
      </c>
      <c r="BK10">
        <f>BJ10*1.06</f>
        <v/>
      </c>
    </row>
    <row r="11" ht="11.65" customFormat="1" customHeight="1" s="12">
      <c r="A11" t="inlineStr">
        <is>
          <t>Lumber</t>
        </is>
      </c>
      <c r="B11" t="n">
        <v>26</v>
      </c>
      <c r="R11" t="n">
        <v>26</v>
      </c>
      <c r="S11" t="n">
        <v>2</v>
      </c>
      <c r="U11" t="n">
        <v>4</v>
      </c>
      <c r="V11" t="n">
        <v>8</v>
      </c>
      <c r="W11" t="inlineStr">
        <is>
          <t>SYP #2</t>
        </is>
      </c>
      <c r="Z11" t="n">
        <v>515</v>
      </c>
      <c r="AA11">
        <f>(B11*S11*U11*V11/12)*Z11/1000</f>
        <v/>
      </c>
      <c r="AV11">
        <f>SUM(AD11:BP11)</f>
        <v/>
      </c>
      <c r="AW11">
        <f>AV11*V11</f>
        <v/>
      </c>
      <c r="AX11">
        <f>AV11*S11*U11*V11/12</f>
        <v/>
      </c>
      <c r="AY11">
        <f>AX11*Z11/1000</f>
        <v/>
      </c>
      <c r="AZ11">
        <f>AY11*1.06</f>
        <v/>
      </c>
      <c r="BA11">
        <f>IFERROR(AY11/AA11,0)</f>
        <v/>
      </c>
      <c r="BE11">
        <f>IF(BB11&lt;&gt;"",BB11*BD11,0)</f>
        <v/>
      </c>
      <c r="BF11">
        <f>AV11-BE11</f>
        <v/>
      </c>
      <c r="BG11">
        <f>BF11*V11</f>
        <v/>
      </c>
      <c r="BH11">
        <f>(BF11*S11*U11*V11)/12</f>
        <v/>
      </c>
      <c r="BI11">
        <f>IFERROR(BH11/AV11,0)</f>
        <v/>
      </c>
      <c r="BJ11">
        <f>IFERROR(BH11*Z11/1000,0)</f>
        <v/>
      </c>
      <c r="BK11">
        <f>BJ11*1.06</f>
        <v/>
      </c>
    </row>
    <row r="12" ht="11.65" customFormat="1" customHeight="1" s="12">
      <c r="A12" t="inlineStr">
        <is>
          <t>Lumber</t>
        </is>
      </c>
      <c r="B12" t="n">
        <v>7116</v>
      </c>
      <c r="R12" t="n">
        <v>7116</v>
      </c>
      <c r="S12" t="n">
        <v>2</v>
      </c>
      <c r="U12" t="n">
        <v>4</v>
      </c>
      <c r="V12" t="n">
        <v>9</v>
      </c>
      <c r="W12" t="inlineStr">
        <is>
          <t>SYP #2 PET 104-5/8</t>
        </is>
      </c>
      <c r="Z12" t="n">
        <v>525</v>
      </c>
      <c r="AA12">
        <f>(B12*S12*U12*V12/12)*Z12/1000</f>
        <v/>
      </c>
      <c r="AC12" t="inlineStr">
        <is>
          <t>60126001
60126006
60126012
60126014
60126016
60126017
60126025
60126029
60126030
60126032
60126036</t>
        </is>
      </c>
      <c r="AH12" t="n">
        <v>2560</v>
      </c>
      <c r="AQ12" t="n">
        <v>6720</v>
      </c>
      <c r="AR12" t="n">
        <v>480</v>
      </c>
      <c r="AS12" t="n">
        <v>480</v>
      </c>
      <c r="AT12" t="n">
        <v>4160</v>
      </c>
      <c r="AU12" t="n">
        <v>2560</v>
      </c>
      <c r="AV12">
        <f>SUM(AD12:BP12)</f>
        <v/>
      </c>
      <c r="AW12">
        <f>AV12*V12</f>
        <v/>
      </c>
      <c r="AX12">
        <f>AV12*S12*U12*V12/12</f>
        <v/>
      </c>
      <c r="AY12">
        <f>AX12*Z12/1000</f>
        <v/>
      </c>
      <c r="AZ12">
        <f>AY12*1.06</f>
        <v/>
      </c>
      <c r="BA12">
        <f>IFERROR(AY12/AA12,0)</f>
        <v/>
      </c>
      <c r="BE12">
        <f>IF(BB12&lt;&gt;"",BB12*BD12,0)</f>
        <v/>
      </c>
      <c r="BF12">
        <f>AV12-BE12</f>
        <v/>
      </c>
      <c r="BG12">
        <f>BF12*V12</f>
        <v/>
      </c>
      <c r="BH12">
        <f>(BF12*S12*U12*V12)/12</f>
        <v/>
      </c>
      <c r="BI12">
        <f>IFERROR(BH12/AV12,0)</f>
        <v/>
      </c>
      <c r="BJ12">
        <f>IFERROR(BH12*Z12/1000,0)</f>
        <v/>
      </c>
      <c r="BK12">
        <f>BJ12*1.06</f>
        <v/>
      </c>
      <c r="BN12" t="n">
        <v>2560</v>
      </c>
      <c r="BO12" t="n">
        <v>1664</v>
      </c>
      <c r="BP12" t="n">
        <v>128</v>
      </c>
    </row>
    <row r="13" ht="11.65" customFormat="1" customHeight="1" s="12">
      <c r="A13" t="inlineStr">
        <is>
          <t>Lumber</t>
        </is>
      </c>
      <c r="B13" t="n">
        <v>353</v>
      </c>
      <c r="R13" t="n">
        <v>353</v>
      </c>
      <c r="S13" t="n">
        <v>2</v>
      </c>
      <c r="U13" t="n">
        <v>4</v>
      </c>
      <c r="V13" t="n">
        <v>12</v>
      </c>
      <c r="W13" t="inlineStr">
        <is>
          <t>SYP #2</t>
        </is>
      </c>
      <c r="Z13" t="n">
        <v>515</v>
      </c>
      <c r="AA13">
        <f>(B13*S13*U13*V13/12)*Z13/1000</f>
        <v/>
      </c>
      <c r="AV13">
        <f>SUM(AD13:BP13)</f>
        <v/>
      </c>
      <c r="AW13">
        <f>AV13*V13</f>
        <v/>
      </c>
      <c r="AX13">
        <f>AV13*S13*U13*V13/12</f>
        <v/>
      </c>
      <c r="AY13">
        <f>AX13*Z13/1000</f>
        <v/>
      </c>
      <c r="AZ13">
        <f>AY13*1.06</f>
        <v/>
      </c>
      <c r="BA13">
        <f>IFERROR(AY13/AA13,0)</f>
        <v/>
      </c>
      <c r="BE13">
        <f>IF(BB13&lt;&gt;"",BB13*BD13,0)</f>
        <v/>
      </c>
      <c r="BF13">
        <f>AV13-BE13</f>
        <v/>
      </c>
      <c r="BG13">
        <f>BF13*V13</f>
        <v/>
      </c>
      <c r="BH13">
        <f>(BF13*S13*U13*V13)/12</f>
        <v/>
      </c>
      <c r="BI13">
        <f>IFERROR(BH13/AV13,0)</f>
        <v/>
      </c>
      <c r="BJ13">
        <f>IFERROR(BH13*Z13/1000,0)</f>
        <v/>
      </c>
      <c r="BK13">
        <f>BJ13*1.06</f>
        <v/>
      </c>
    </row>
    <row r="14" ht="11.65" customFormat="1" customHeight="1" s="12">
      <c r="A14" t="inlineStr">
        <is>
          <t>Lumber</t>
        </is>
      </c>
      <c r="B14" t="n">
        <v>158</v>
      </c>
      <c r="R14" t="n">
        <v>158</v>
      </c>
      <c r="S14" t="n">
        <v>2</v>
      </c>
      <c r="U14" t="n">
        <v>4</v>
      </c>
      <c r="V14" t="n">
        <v>14</v>
      </c>
      <c r="W14" t="inlineStr">
        <is>
          <t>SYP #2</t>
        </is>
      </c>
      <c r="Z14" t="n">
        <v>515</v>
      </c>
      <c r="AA14">
        <f>(B14*S14*U14*V14/12)*Z14/1000</f>
        <v/>
      </c>
      <c r="AV14">
        <f>SUM(AD14:BP14)</f>
        <v/>
      </c>
      <c r="AW14">
        <f>AV14*V14</f>
        <v/>
      </c>
      <c r="AX14">
        <f>AV14*S14*U14*V14/12</f>
        <v/>
      </c>
      <c r="AY14">
        <f>AX14*Z14/1000</f>
        <v/>
      </c>
      <c r="AZ14">
        <f>AY14*1.06</f>
        <v/>
      </c>
      <c r="BA14">
        <f>IFERROR(AY14/AA14,0)</f>
        <v/>
      </c>
      <c r="BE14">
        <f>IF(BB14&lt;&gt;"",BB14*BD14,0)</f>
        <v/>
      </c>
      <c r="BF14">
        <f>AV14-BE14</f>
        <v/>
      </c>
      <c r="BG14">
        <f>BF14*V14</f>
        <v/>
      </c>
      <c r="BH14">
        <f>(BF14*S14*U14*V14)/12</f>
        <v/>
      </c>
      <c r="BI14">
        <f>IFERROR(BH14/AV14,0)</f>
        <v/>
      </c>
      <c r="BJ14">
        <f>IFERROR(BH14*Z14/1000,0)</f>
        <v/>
      </c>
      <c r="BK14">
        <f>BJ14*1.06</f>
        <v/>
      </c>
    </row>
    <row r="15" ht="34.9" customFormat="1" customHeight="1" s="12">
      <c r="A15" t="inlineStr">
        <is>
          <t>Lumber</t>
        </is>
      </c>
      <c r="B15" t="n">
        <v>21</v>
      </c>
      <c r="R15" t="n">
        <v>21</v>
      </c>
      <c r="S15" t="n">
        <v>2</v>
      </c>
      <c r="U15" t="n">
        <v>4</v>
      </c>
      <c r="V15" t="n">
        <v>16</v>
      </c>
      <c r="W15" t="inlineStr">
        <is>
          <t>SYP #2</t>
        </is>
      </c>
      <c r="Z15" t="n">
        <v>515</v>
      </c>
      <c r="AA15">
        <f>(B15*S15*U15*V15/12)*Z15/1000</f>
        <v/>
      </c>
      <c r="AV15">
        <f>SUM(AD15:BP15)</f>
        <v/>
      </c>
      <c r="AW15">
        <f>AV15*V15</f>
        <v/>
      </c>
      <c r="AX15">
        <f>AV15*S15*U15*V15/12</f>
        <v/>
      </c>
      <c r="AY15">
        <f>AX15*Z15/1000</f>
        <v/>
      </c>
      <c r="AZ15">
        <f>AY15*1.06</f>
        <v/>
      </c>
      <c r="BA15">
        <f>IFERROR(AY15/AA15,0)</f>
        <v/>
      </c>
      <c r="BE15">
        <f>IF(BB15&lt;&gt;"",BB15*BD15,0)</f>
        <v/>
      </c>
      <c r="BF15">
        <f>AV15-BE15</f>
        <v/>
      </c>
      <c r="BG15">
        <f>BF15*V15</f>
        <v/>
      </c>
      <c r="BH15">
        <f>(BF15*S15*U15*V15)/12</f>
        <v/>
      </c>
      <c r="BI15">
        <f>IFERROR(BH15/AV15,0)</f>
        <v/>
      </c>
      <c r="BJ15">
        <f>IFERROR(BH15*Z15/1000,0)</f>
        <v/>
      </c>
      <c r="BK15">
        <f>BJ15*1.06</f>
        <v/>
      </c>
    </row>
    <row r="16" ht="11.65" customFormat="1" customHeight="1" s="12">
      <c r="A16" t="inlineStr">
        <is>
          <t>Lumber</t>
        </is>
      </c>
      <c r="B16" t="n">
        <v>37494</v>
      </c>
      <c r="R16" t="n">
        <v>37494</v>
      </c>
      <c r="S16" t="n">
        <v>2</v>
      </c>
      <c r="U16" t="n">
        <v>6</v>
      </c>
      <c r="V16" t="n">
        <v>1</v>
      </c>
      <c r="W16" t="inlineStr">
        <is>
          <t>SYP #2</t>
        </is>
      </c>
      <c r="Z16" t="n">
        <v>435</v>
      </c>
      <c r="AA16">
        <f>(B16*S16*U16*V16/12)*Z16/1000</f>
        <v/>
      </c>
      <c r="AV16">
        <f>SUM(AD16:BP16)</f>
        <v/>
      </c>
      <c r="AW16">
        <f>AV16*V16</f>
        <v/>
      </c>
      <c r="AX16">
        <f>AV16*S16*U16*V16/12</f>
        <v/>
      </c>
      <c r="AY16">
        <f>AX16*Z16/1000</f>
        <v/>
      </c>
      <c r="AZ16">
        <f>AY16*1.06</f>
        <v/>
      </c>
      <c r="BA16">
        <f>IFERROR(AY16/AA16,0)</f>
        <v/>
      </c>
      <c r="BE16">
        <f>IF(BB16&lt;&gt;"",BB16*BD16,0)</f>
        <v/>
      </c>
      <c r="BF16">
        <f>AV16-BE16</f>
        <v/>
      </c>
      <c r="BG16">
        <f>BF16*V16</f>
        <v/>
      </c>
      <c r="BH16">
        <f>(BF16*S16*U16*V16)/12</f>
        <v/>
      </c>
      <c r="BI16">
        <f>IFERROR(BH16/AV16,0)</f>
        <v/>
      </c>
      <c r="BJ16">
        <f>IFERROR(BH16*Z16/1000,0)</f>
        <v/>
      </c>
      <c r="BK16">
        <f>BJ16*1.06</f>
        <v/>
      </c>
    </row>
    <row r="17" ht="11.65" customFormat="1" customHeight="1" s="12">
      <c r="A17" t="inlineStr">
        <is>
          <t>Lumber</t>
        </is>
      </c>
      <c r="B17" t="n">
        <v>94</v>
      </c>
      <c r="R17" t="n">
        <v>94</v>
      </c>
      <c r="S17" t="n">
        <v>2</v>
      </c>
      <c r="U17" t="n">
        <v>6</v>
      </c>
      <c r="V17" t="n">
        <v>12</v>
      </c>
      <c r="W17" t="inlineStr">
        <is>
          <t>SYP #2</t>
        </is>
      </c>
      <c r="Z17" t="n">
        <v>435</v>
      </c>
      <c r="AA17">
        <f>(B17*S17*U17*V17/12)*Z17/1000</f>
        <v/>
      </c>
      <c r="AV17">
        <f>SUM(AD17:BP17)</f>
        <v/>
      </c>
      <c r="AW17">
        <f>AV17*V17</f>
        <v/>
      </c>
      <c r="AX17">
        <f>AV17*S17*U17*V17/12</f>
        <v/>
      </c>
      <c r="AY17">
        <f>AX17*Z17/1000</f>
        <v/>
      </c>
      <c r="AZ17">
        <f>AY17*1.06</f>
        <v/>
      </c>
      <c r="BA17">
        <f>IFERROR(AY17/AA17,0)</f>
        <v/>
      </c>
      <c r="BE17">
        <f>IF(BB17&lt;&gt;"",BB17*BD17,0)</f>
        <v/>
      </c>
      <c r="BF17">
        <f>AV17-BE17</f>
        <v/>
      </c>
      <c r="BG17">
        <f>BF17*V17</f>
        <v/>
      </c>
      <c r="BH17">
        <f>(BF17*S17*U17*V17)/12</f>
        <v/>
      </c>
      <c r="BI17">
        <f>IFERROR(BH17/AV17,0)</f>
        <v/>
      </c>
      <c r="BJ17">
        <f>IFERROR(BH17*Z17/1000,0)</f>
        <v/>
      </c>
      <c r="BK17">
        <f>BJ17*1.06</f>
        <v/>
      </c>
    </row>
    <row r="18" ht="11.65" customFormat="1" customHeight="1" s="12">
      <c r="A18" t="inlineStr">
        <is>
          <t>Lumber</t>
        </is>
      </c>
      <c r="B18" t="n">
        <v>9177</v>
      </c>
      <c r="R18" t="n">
        <v>9177</v>
      </c>
      <c r="S18" t="n">
        <v>2</v>
      </c>
      <c r="U18" t="n">
        <v>6</v>
      </c>
      <c r="V18" t="n">
        <v>9</v>
      </c>
      <c r="W18" t="inlineStr">
        <is>
          <t>SYP #2 PET 104-5/8</t>
        </is>
      </c>
      <c r="Z18" t="n">
        <v>525</v>
      </c>
      <c r="AA18">
        <f>(B18*S18*U18*V18/12)*Z18/1000</f>
        <v/>
      </c>
      <c r="AV18">
        <f>SUM(AD18:BP18)</f>
        <v/>
      </c>
      <c r="AW18">
        <f>AV18*V18</f>
        <v/>
      </c>
      <c r="AX18">
        <f>AV18*S18*U18*V18/12</f>
        <v/>
      </c>
      <c r="AY18">
        <f>AX18*Z18/1000</f>
        <v/>
      </c>
      <c r="AZ18">
        <f>AY18*1.06</f>
        <v/>
      </c>
      <c r="BA18">
        <f>IFERROR(AY18/AA18,0)</f>
        <v/>
      </c>
      <c r="BE18">
        <f>IF(BB18&lt;&gt;"",BB18*BD18,0)</f>
        <v/>
      </c>
      <c r="BF18">
        <f>AV18-BE18</f>
        <v/>
      </c>
      <c r="BG18">
        <f>BF18*V18</f>
        <v/>
      </c>
      <c r="BH18">
        <f>(BF18*S18*U18*V18)/12</f>
        <v/>
      </c>
      <c r="BI18">
        <f>IFERROR(BH18/AV18,0)</f>
        <v/>
      </c>
      <c r="BJ18">
        <f>IFERROR(BH18*Z18/1000,0)</f>
        <v/>
      </c>
      <c r="BK18">
        <f>BJ18*1.06</f>
        <v/>
      </c>
    </row>
    <row r="19" ht="11.65" customFormat="1" customHeight="1" s="12">
      <c r="A19" t="inlineStr">
        <is>
          <t>Lumber</t>
        </is>
      </c>
      <c r="B19" t="n">
        <v>717</v>
      </c>
      <c r="R19" t="n">
        <v>717</v>
      </c>
      <c r="S19" t="n">
        <v>2</v>
      </c>
      <c r="U19" t="n">
        <v>6</v>
      </c>
      <c r="V19" t="n">
        <v>12</v>
      </c>
      <c r="W19" t="inlineStr">
        <is>
          <t>SYP #2</t>
        </is>
      </c>
      <c r="Z19" t="n">
        <v>435</v>
      </c>
      <c r="AA19">
        <f>(B19*S19*U19*V19/12)*Z19/1000</f>
        <v/>
      </c>
      <c r="AV19">
        <f>SUM(AD19:BP19)</f>
        <v/>
      </c>
      <c r="AW19">
        <f>AV19*V19</f>
        <v/>
      </c>
      <c r="AX19">
        <f>AV19*S19*U19*V19/12</f>
        <v/>
      </c>
      <c r="AY19">
        <f>AX19*Z19/1000</f>
        <v/>
      </c>
      <c r="AZ19">
        <f>AY19*1.06</f>
        <v/>
      </c>
      <c r="BA19">
        <f>IFERROR(AY19/AA19,0)</f>
        <v/>
      </c>
      <c r="BE19">
        <f>IF(BB19&lt;&gt;"",BB19*BD19,0)</f>
        <v/>
      </c>
      <c r="BF19">
        <f>AV19-BE19</f>
        <v/>
      </c>
      <c r="BG19">
        <f>BF19*V19</f>
        <v/>
      </c>
      <c r="BH19">
        <f>(BF19*S19*U19*V19)/12</f>
        <v/>
      </c>
      <c r="BI19">
        <f>IFERROR(BH19/AV19,0)</f>
        <v/>
      </c>
      <c r="BJ19">
        <f>IFERROR(BH19*Z19/1000,0)</f>
        <v/>
      </c>
      <c r="BK19">
        <f>BJ19*1.06</f>
        <v/>
      </c>
    </row>
    <row r="20" ht="11.65" customFormat="1" customHeight="1" s="12">
      <c r="A20" t="inlineStr">
        <is>
          <t>Lumber</t>
        </is>
      </c>
      <c r="B20" t="n">
        <v>231</v>
      </c>
      <c r="R20" t="n">
        <v>231</v>
      </c>
      <c r="S20" t="n">
        <v>2</v>
      </c>
      <c r="U20" t="n">
        <v>6</v>
      </c>
      <c r="V20" t="n">
        <v>14</v>
      </c>
      <c r="W20" t="inlineStr">
        <is>
          <t>SYP #2</t>
        </is>
      </c>
      <c r="Z20" t="n">
        <v>435</v>
      </c>
      <c r="AA20">
        <f>(B20*S20*U20*V20/12)*Z20/1000</f>
        <v/>
      </c>
      <c r="AV20">
        <f>SUM(AD20:BP20)</f>
        <v/>
      </c>
      <c r="AW20">
        <f>AV20*V20</f>
        <v/>
      </c>
      <c r="AX20">
        <f>AV20*S20*U20*V20/12</f>
        <v/>
      </c>
      <c r="AY20">
        <f>AX20*Z20/1000</f>
        <v/>
      </c>
      <c r="AZ20">
        <f>AY20*1.06</f>
        <v/>
      </c>
      <c r="BA20">
        <f>IFERROR(AY20/AA20,0)</f>
        <v/>
      </c>
      <c r="BE20">
        <f>IF(BB20&lt;&gt;"",BB20*BD20,0)</f>
        <v/>
      </c>
      <c r="BF20">
        <f>AV20-BE20</f>
        <v/>
      </c>
      <c r="BG20">
        <f>BF20*V20</f>
        <v/>
      </c>
      <c r="BH20">
        <f>(BF20*S20*U20*V20)/12</f>
        <v/>
      </c>
      <c r="BI20">
        <f>IFERROR(BH20/AV20,0)</f>
        <v/>
      </c>
      <c r="BJ20">
        <f>IFERROR(BH20*Z20/1000,0)</f>
        <v/>
      </c>
      <c r="BK20">
        <f>BJ20*1.06</f>
        <v/>
      </c>
    </row>
    <row r="21" ht="23.25" customFormat="1" customHeight="1" s="12">
      <c r="A21" t="inlineStr">
        <is>
          <t>Lumber</t>
        </is>
      </c>
      <c r="B21" t="n">
        <v>404</v>
      </c>
      <c r="R21" t="n">
        <v>404</v>
      </c>
      <c r="S21" t="n">
        <v>2</v>
      </c>
      <c r="U21" t="n">
        <v>6</v>
      </c>
      <c r="V21" t="n">
        <v>16</v>
      </c>
      <c r="W21" t="inlineStr">
        <is>
          <t>SYP #2</t>
        </is>
      </c>
      <c r="Z21" t="n">
        <v>435</v>
      </c>
      <c r="AA21">
        <f>(B21*S21*U21*V21/12)*Z21/1000</f>
        <v/>
      </c>
      <c r="AV21">
        <f>SUM(AD21:BP21)</f>
        <v/>
      </c>
      <c r="AW21">
        <f>AV21*V21</f>
        <v/>
      </c>
      <c r="AX21">
        <f>AV21*S21*U21*V21/12</f>
        <v/>
      </c>
      <c r="AY21">
        <f>AX21*Z21/1000</f>
        <v/>
      </c>
      <c r="AZ21">
        <f>AY21*1.06</f>
        <v/>
      </c>
      <c r="BA21">
        <f>IFERROR(AY21/AA21,0)</f>
        <v/>
      </c>
      <c r="BE21">
        <f>IF(BB21&lt;&gt;"",BB21*BD21,0)</f>
        <v/>
      </c>
      <c r="BF21">
        <f>AV21-BE21</f>
        <v/>
      </c>
      <c r="BG21">
        <f>BF21*V21</f>
        <v/>
      </c>
      <c r="BH21">
        <f>(BF21*S21*U21*V21)/12</f>
        <v/>
      </c>
      <c r="BI21">
        <f>IFERROR(BH21/AV21,0)</f>
        <v/>
      </c>
      <c r="BJ21">
        <f>IFERROR(BH21*Z21/1000,0)</f>
        <v/>
      </c>
      <c r="BK21">
        <f>BJ21*1.06</f>
        <v/>
      </c>
    </row>
    <row r="22" ht="11.65" customFormat="1" customHeight="1" s="12">
      <c r="A22" t="inlineStr">
        <is>
          <t>Lumber</t>
        </is>
      </c>
      <c r="B22" t="n">
        <v>9078</v>
      </c>
      <c r="R22" t="n">
        <v>9078</v>
      </c>
      <c r="S22" t="n">
        <v>2</v>
      </c>
      <c r="U22" t="n">
        <v>8</v>
      </c>
      <c r="V22" t="n">
        <v>1</v>
      </c>
      <c r="W22" t="inlineStr">
        <is>
          <t>SYP #2</t>
        </is>
      </c>
      <c r="Z22" t="n">
        <v>485</v>
      </c>
      <c r="AA22">
        <f>(B22*S22*U22*V22/12)*Z22/1000</f>
        <v/>
      </c>
      <c r="AV22">
        <f>SUM(AD22:BP22)</f>
        <v/>
      </c>
      <c r="AW22">
        <f>AV22*V22</f>
        <v/>
      </c>
      <c r="AX22">
        <f>AV22*S22*U22*V22/12</f>
        <v/>
      </c>
      <c r="AY22">
        <f>AX22*Z22/1000</f>
        <v/>
      </c>
      <c r="AZ22">
        <f>AY22*1.06</f>
        <v/>
      </c>
      <c r="BA22">
        <f>IFERROR(AY22/AA22,0)</f>
        <v/>
      </c>
      <c r="BE22">
        <f>IF(BB22&lt;&gt;"",BB22*BD22,0)</f>
        <v/>
      </c>
      <c r="BF22">
        <f>AV22-BE22</f>
        <v/>
      </c>
      <c r="BG22">
        <f>BF22*V22</f>
        <v/>
      </c>
      <c r="BH22">
        <f>(BF22*S22*U22*V22)/12</f>
        <v/>
      </c>
      <c r="BI22">
        <f>IFERROR(BH22/AV22,0)</f>
        <v/>
      </c>
      <c r="BJ22">
        <f>IFERROR(BH22*Z22/1000,0)</f>
        <v/>
      </c>
      <c r="BK22">
        <f>BJ22*1.06</f>
        <v/>
      </c>
    </row>
    <row r="23" ht="11.65" customFormat="1" customHeight="1" s="12">
      <c r="A23" t="inlineStr">
        <is>
          <t>Lumber</t>
        </is>
      </c>
      <c r="B23" t="n">
        <v>982</v>
      </c>
      <c r="R23" t="n">
        <v>982</v>
      </c>
      <c r="S23" t="n">
        <v>2</v>
      </c>
      <c r="U23" t="n">
        <v>8</v>
      </c>
      <c r="V23" t="n">
        <v>9</v>
      </c>
      <c r="W23" t="inlineStr">
        <is>
          <t>SYP #2 PET 104-5/8</t>
        </is>
      </c>
      <c r="Z23" t="n">
        <v>485</v>
      </c>
      <c r="AA23">
        <f>(B23*S23*U23*V23/12)*Z23/1000</f>
        <v/>
      </c>
      <c r="AV23">
        <f>SUM(AD23:BP23)</f>
        <v/>
      </c>
      <c r="AW23">
        <f>AV23*V23</f>
        <v/>
      </c>
      <c r="AX23">
        <f>AV23*S23*U23*V23/12</f>
        <v/>
      </c>
      <c r="AY23">
        <f>AX23*Z23/1000</f>
        <v/>
      </c>
      <c r="AZ23">
        <f>AY23*1.06</f>
        <v/>
      </c>
      <c r="BA23">
        <f>IFERROR(AY23/AA23,0)</f>
        <v/>
      </c>
      <c r="BE23">
        <f>IF(BB23&lt;&gt;"",BB23*BD23,0)</f>
        <v/>
      </c>
      <c r="BF23">
        <f>AV23-BE23</f>
        <v/>
      </c>
      <c r="BG23">
        <f>BF23*V23</f>
        <v/>
      </c>
      <c r="BH23">
        <f>(BF23*S23*U23*V23)/12</f>
        <v/>
      </c>
      <c r="BI23">
        <f>IFERROR(BH23/AV23,0)</f>
        <v/>
      </c>
      <c r="BJ23">
        <f>IFERROR(BH23*Z23/1000,0)</f>
        <v/>
      </c>
      <c r="BK23">
        <f>BJ23*1.06</f>
        <v/>
      </c>
    </row>
    <row r="24" ht="11.65" customFormat="1" customHeight="1" s="12">
      <c r="A24" t="inlineStr">
        <is>
          <t>Lumber</t>
        </is>
      </c>
      <c r="B24" t="n">
        <v>6122</v>
      </c>
      <c r="R24" t="n">
        <v>6122</v>
      </c>
      <c r="S24" t="n">
        <v>2</v>
      </c>
      <c r="U24" t="n">
        <v>10</v>
      </c>
      <c r="V24" t="n">
        <v>1</v>
      </c>
      <c r="W24" t="inlineStr">
        <is>
          <t>SYP #2</t>
        </is>
      </c>
      <c r="Z24" t="n">
        <v>485</v>
      </c>
      <c r="AA24">
        <f>(B24*S24*U24*V24/12)*Z24/1000</f>
        <v/>
      </c>
      <c r="AV24">
        <f>SUM(AD24:BP24)</f>
        <v/>
      </c>
      <c r="AW24">
        <f>AV24*V24</f>
        <v/>
      </c>
      <c r="AX24">
        <f>AV24*S24*U24*V24/12</f>
        <v/>
      </c>
      <c r="AY24">
        <f>AX24*Z24/1000</f>
        <v/>
      </c>
      <c r="AZ24">
        <f>AY24*1.06</f>
        <v/>
      </c>
      <c r="BA24">
        <f>IFERROR(AY24/AA24,0)</f>
        <v/>
      </c>
      <c r="BE24">
        <f>IF(BB24&lt;&gt;"",BB24*BD24,0)</f>
        <v/>
      </c>
      <c r="BF24">
        <f>AV24-BE24</f>
        <v/>
      </c>
      <c r="BG24">
        <f>BF24*V24</f>
        <v/>
      </c>
      <c r="BH24">
        <f>(BF24*S24*U24*V24)/12</f>
        <v/>
      </c>
      <c r="BI24">
        <f>IFERROR(BH24/AV24,0)</f>
        <v/>
      </c>
      <c r="BJ24">
        <f>IFERROR(BH24*Z24/1000,0)</f>
        <v/>
      </c>
      <c r="BK24">
        <f>BJ24*1.06</f>
        <v/>
      </c>
    </row>
    <row r="25" ht="11.65" customFormat="1" customHeight="1" s="12">
      <c r="A25" t="inlineStr">
        <is>
          <t>Lumber</t>
        </is>
      </c>
      <c r="B25" t="n">
        <v>161</v>
      </c>
      <c r="R25" t="n">
        <v>161</v>
      </c>
      <c r="S25" t="n">
        <v>2</v>
      </c>
      <c r="U25" t="n">
        <v>10</v>
      </c>
      <c r="V25" t="n">
        <v>10</v>
      </c>
      <c r="W25" t="inlineStr">
        <is>
          <t>SYP #2</t>
        </is>
      </c>
      <c r="Z25" t="n">
        <v>485</v>
      </c>
      <c r="AA25">
        <f>(B25*S25*U25*V25/12)*Z25/1000</f>
        <v/>
      </c>
      <c r="AV25">
        <f>SUM(AD25:BP25)</f>
        <v/>
      </c>
      <c r="AW25">
        <f>AV25*V25</f>
        <v/>
      </c>
      <c r="AX25">
        <f>AV25*S25*U25*V25/12</f>
        <v/>
      </c>
      <c r="AY25">
        <f>AX25*Z25/1000</f>
        <v/>
      </c>
      <c r="AZ25">
        <f>AY25*1.06</f>
        <v/>
      </c>
      <c r="BA25">
        <f>IFERROR(AY25/AA25,0)</f>
        <v/>
      </c>
      <c r="BE25">
        <f>IF(BB25&lt;&gt;"",BB25*BD25,0)</f>
        <v/>
      </c>
      <c r="BF25">
        <f>AV25-BE25</f>
        <v/>
      </c>
      <c r="BG25">
        <f>BF25*V25</f>
        <v/>
      </c>
      <c r="BH25">
        <f>(BF25*S25*U25*V25)/12</f>
        <v/>
      </c>
      <c r="BI25">
        <f>IFERROR(BH25/AV25,0)</f>
        <v/>
      </c>
      <c r="BJ25">
        <f>IFERROR(BH25*Z25/1000,0)</f>
        <v/>
      </c>
      <c r="BK25">
        <f>BJ25*1.06</f>
        <v/>
      </c>
    </row>
    <row r="26" ht="11.65" customFormat="1" customHeight="1" s="12">
      <c r="A26" t="inlineStr">
        <is>
          <t>Lumber</t>
        </is>
      </c>
      <c r="B26" t="n">
        <v>128</v>
      </c>
      <c r="R26" t="n">
        <v>128</v>
      </c>
      <c r="S26" t="n">
        <v>2</v>
      </c>
      <c r="U26" t="n">
        <v>10</v>
      </c>
      <c r="V26" t="n">
        <v>12</v>
      </c>
      <c r="W26" t="inlineStr">
        <is>
          <t>SYP #2</t>
        </is>
      </c>
      <c r="Z26" t="n">
        <v>485</v>
      </c>
      <c r="AA26">
        <f>(B26*S26*U26*V26/12)*Z26/1000</f>
        <v/>
      </c>
      <c r="AV26">
        <f>SUM(AD26:BP26)</f>
        <v/>
      </c>
      <c r="AW26">
        <f>AV26*V26</f>
        <v/>
      </c>
      <c r="AX26">
        <f>AV26*S26*U26*V26/12</f>
        <v/>
      </c>
      <c r="AY26">
        <f>AX26*Z26/1000</f>
        <v/>
      </c>
      <c r="AZ26">
        <f>AY26*1.06</f>
        <v/>
      </c>
      <c r="BA26">
        <f>IFERROR(AY26/AA26,0)</f>
        <v/>
      </c>
      <c r="BE26">
        <f>IF(BB26&lt;&gt;"",BB26*BD26,0)</f>
        <v/>
      </c>
      <c r="BF26">
        <f>AV26-BE26</f>
        <v/>
      </c>
      <c r="BG26">
        <f>BF26*V26</f>
        <v/>
      </c>
      <c r="BH26">
        <f>(BF26*S26*U26*V26)/12</f>
        <v/>
      </c>
      <c r="BI26">
        <f>IFERROR(BH26/AV26,0)</f>
        <v/>
      </c>
      <c r="BJ26">
        <f>IFERROR(BH26*Z26/1000,0)</f>
        <v/>
      </c>
      <c r="BK26">
        <f>BJ26*1.06</f>
        <v/>
      </c>
    </row>
    <row r="27" ht="11.65" customFormat="1" customHeight="1" s="12">
      <c r="A27" t="inlineStr">
        <is>
          <t>Lumber</t>
        </is>
      </c>
      <c r="B27" t="n">
        <v>47</v>
      </c>
      <c r="R27" t="n">
        <v>47</v>
      </c>
      <c r="S27" t="n">
        <v>2</v>
      </c>
      <c r="U27" t="n">
        <v>10</v>
      </c>
      <c r="V27" t="n">
        <v>10</v>
      </c>
      <c r="W27" t="inlineStr">
        <is>
          <t>SYP #2</t>
        </is>
      </c>
      <c r="Z27" t="n">
        <v>485</v>
      </c>
      <c r="AA27">
        <f>(B27*S27*U27*V27/12)*Z27/1000</f>
        <v/>
      </c>
      <c r="AV27">
        <f>SUM(AD27:BP27)</f>
        <v/>
      </c>
      <c r="AW27">
        <f>AV27*V27</f>
        <v/>
      </c>
      <c r="AX27">
        <f>AV27*S27*U27*V27/12</f>
        <v/>
      </c>
      <c r="AY27">
        <f>AX27*Z27/1000</f>
        <v/>
      </c>
      <c r="AZ27">
        <f>AY27*1.06</f>
        <v/>
      </c>
      <c r="BA27">
        <f>IFERROR(AY27/AA27,0)</f>
        <v/>
      </c>
      <c r="BE27">
        <f>IF(BB27&lt;&gt;"",BB27*BD27,0)</f>
        <v/>
      </c>
      <c r="BF27">
        <f>AV27-BE27</f>
        <v/>
      </c>
      <c r="BG27">
        <f>BF27*V27</f>
        <v/>
      </c>
      <c r="BH27">
        <f>(BF27*S27*U27*V27)/12</f>
        <v/>
      </c>
      <c r="BI27">
        <f>IFERROR(BH27/AV27,0)</f>
        <v/>
      </c>
      <c r="BJ27">
        <f>IFERROR(BH27*Z27/1000,0)</f>
        <v/>
      </c>
      <c r="BK27">
        <f>BJ27*1.06</f>
        <v/>
      </c>
    </row>
    <row r="28" ht="11.65" customFormat="1" customHeight="1" s="12">
      <c r="A28" t="inlineStr">
        <is>
          <t>Lumber</t>
        </is>
      </c>
      <c r="B28" t="n">
        <v>60</v>
      </c>
      <c r="R28" t="n">
        <v>60</v>
      </c>
      <c r="S28" t="n">
        <v>2</v>
      </c>
      <c r="U28" t="n">
        <v>10</v>
      </c>
      <c r="V28" t="n">
        <v>12</v>
      </c>
      <c r="W28" t="inlineStr">
        <is>
          <t>SYP #2</t>
        </is>
      </c>
      <c r="Z28" t="n">
        <v>485</v>
      </c>
      <c r="AA28">
        <f>(B28*S28*U28*V28/12)*Z28/1000</f>
        <v/>
      </c>
      <c r="AV28">
        <f>SUM(AD28:BP28)</f>
        <v/>
      </c>
      <c r="AW28">
        <f>AV28*V28</f>
        <v/>
      </c>
      <c r="AX28">
        <f>AV28*S28*U28*V28/12</f>
        <v/>
      </c>
      <c r="AY28">
        <f>AX28*Z28/1000</f>
        <v/>
      </c>
      <c r="AZ28">
        <f>AY28*1.06</f>
        <v/>
      </c>
      <c r="BA28">
        <f>IFERROR(AY28/AA28,0)</f>
        <v/>
      </c>
      <c r="BE28">
        <f>IF(BB28&lt;&gt;"",BB28*BD28,0)</f>
        <v/>
      </c>
      <c r="BF28">
        <f>AV28-BE28</f>
        <v/>
      </c>
      <c r="BG28">
        <f>BF28*V28</f>
        <v/>
      </c>
      <c r="BH28">
        <f>(BF28*S28*U28*V28)/12</f>
        <v/>
      </c>
      <c r="BI28">
        <f>IFERROR(BH28/AV28,0)</f>
        <v/>
      </c>
      <c r="BJ28">
        <f>IFERROR(BH28*Z28/1000,0)</f>
        <v/>
      </c>
      <c r="BK28">
        <f>BJ28*1.06</f>
        <v/>
      </c>
    </row>
    <row r="29" ht="11.65" customFormat="1" customHeight="1" s="12">
      <c r="A29" t="inlineStr">
        <is>
          <t>Lumber</t>
        </is>
      </c>
      <c r="B29" t="n">
        <v>26</v>
      </c>
      <c r="R29" t="n">
        <v>26</v>
      </c>
      <c r="S29" t="n">
        <v>2</v>
      </c>
      <c r="U29" t="n">
        <v>10</v>
      </c>
      <c r="V29" t="n">
        <v>14</v>
      </c>
      <c r="W29" t="inlineStr">
        <is>
          <t>SYP #2</t>
        </is>
      </c>
      <c r="Z29" t="n">
        <v>485</v>
      </c>
      <c r="AA29">
        <f>(B29*S29*U29*V29/12)*Z29/1000</f>
        <v/>
      </c>
      <c r="AV29">
        <f>SUM(AD29:BP29)</f>
        <v/>
      </c>
      <c r="AW29">
        <f>AV29*V29</f>
        <v/>
      </c>
      <c r="AX29">
        <f>AV29*S29*U29*V29/12</f>
        <v/>
      </c>
      <c r="AY29">
        <f>AX29*Z29/1000</f>
        <v/>
      </c>
      <c r="AZ29">
        <f>AY29*1.06</f>
        <v/>
      </c>
      <c r="BA29">
        <f>IFERROR(AY29/AA29,0)</f>
        <v/>
      </c>
      <c r="BE29">
        <f>IF(BB29&lt;&gt;"",BB29*BD29,0)</f>
        <v/>
      </c>
      <c r="BF29">
        <f>AV29-BE29</f>
        <v/>
      </c>
      <c r="BG29">
        <f>BF29*V29</f>
        <v/>
      </c>
      <c r="BH29">
        <f>(BF29*S29*U29*V29)/12</f>
        <v/>
      </c>
      <c r="BI29">
        <f>IFERROR(BH29/AV29,0)</f>
        <v/>
      </c>
      <c r="BJ29">
        <f>IFERROR(BH29*Z29/1000,0)</f>
        <v/>
      </c>
      <c r="BK29">
        <f>BJ29*1.06</f>
        <v/>
      </c>
    </row>
    <row r="30" ht="11.65" customFormat="1" customHeight="1" s="12">
      <c r="A30" t="inlineStr">
        <is>
          <t>Lumber</t>
        </is>
      </c>
      <c r="B30" t="n">
        <v>693</v>
      </c>
      <c r="R30" t="n">
        <v>693</v>
      </c>
      <c r="S30" t="n">
        <v>2</v>
      </c>
      <c r="U30" t="n">
        <v>12</v>
      </c>
      <c r="V30" t="n">
        <v>1</v>
      </c>
      <c r="W30" t="inlineStr">
        <is>
          <t>SYP #2</t>
        </is>
      </c>
      <c r="Z30" t="n">
        <v>535</v>
      </c>
      <c r="AA30">
        <f>(B30*S30*U30*V30/12)*Z30/1000</f>
        <v/>
      </c>
      <c r="AV30">
        <f>SUM(AD30:BP30)</f>
        <v/>
      </c>
      <c r="AW30">
        <f>AV30*V30</f>
        <v/>
      </c>
      <c r="AX30">
        <f>AV30*S30*U30*V30/12</f>
        <v/>
      </c>
      <c r="AY30">
        <f>AX30*Z30/1000</f>
        <v/>
      </c>
      <c r="AZ30">
        <f>AY30*1.06</f>
        <v/>
      </c>
      <c r="BA30">
        <f>IFERROR(AY30/AA30,0)</f>
        <v/>
      </c>
      <c r="BE30">
        <f>IF(BB30&lt;&gt;"",BB30*BD30,0)</f>
        <v/>
      </c>
      <c r="BF30">
        <f>AV30-BE30</f>
        <v/>
      </c>
      <c r="BG30">
        <f>BF30*V30</f>
        <v/>
      </c>
      <c r="BH30">
        <f>(BF30*S30*U30*V30)/12</f>
        <v/>
      </c>
      <c r="BI30">
        <f>IFERROR(BH30/AV30,0)</f>
        <v/>
      </c>
      <c r="BJ30">
        <f>IFERROR(BH30*Z30/1000,0)</f>
        <v/>
      </c>
      <c r="BK30">
        <f>BJ30*1.06</f>
        <v/>
      </c>
    </row>
    <row r="31" ht="23.25" customFormat="1" customHeight="1" s="12">
      <c r="A31" t="inlineStr">
        <is>
          <t>Lumber</t>
        </is>
      </c>
      <c r="B31" t="n">
        <v>18</v>
      </c>
      <c r="R31" t="n">
        <v>18</v>
      </c>
      <c r="S31" t="n">
        <v>2</v>
      </c>
      <c r="U31" t="n">
        <v>12</v>
      </c>
      <c r="V31" t="n">
        <v>1</v>
      </c>
      <c r="W31" t="inlineStr">
        <is>
          <t>SYP #2</t>
        </is>
      </c>
      <c r="Z31" t="n">
        <v>535</v>
      </c>
      <c r="AA31">
        <f>(B31*S31*U31*V31/12)*Z31/1000</f>
        <v/>
      </c>
      <c r="AV31">
        <f>SUM(AD31:BP31)</f>
        <v/>
      </c>
      <c r="AW31">
        <f>AV31*V31</f>
        <v/>
      </c>
      <c r="AX31">
        <f>AV31*S31*U31*V31/12</f>
        <v/>
      </c>
      <c r="AY31">
        <f>AX31*Z31/1000</f>
        <v/>
      </c>
      <c r="AZ31">
        <f>AY31*1.06</f>
        <v/>
      </c>
      <c r="BA31">
        <f>IFERROR(AY31/AA31,0)</f>
        <v/>
      </c>
      <c r="BE31">
        <f>IF(BB31&lt;&gt;"",BB31*BD31,0)</f>
        <v/>
      </c>
      <c r="BF31">
        <f>AV31-BE31</f>
        <v/>
      </c>
      <c r="BG31">
        <f>BF31*V31</f>
        <v/>
      </c>
      <c r="BH31">
        <f>(BF31*S31*U31*V31)/12</f>
        <v/>
      </c>
      <c r="BI31">
        <f>IFERROR(BH31/AV31,0)</f>
        <v/>
      </c>
      <c r="BJ31">
        <f>IFERROR(BH31*Z31/1000,0)</f>
        <v/>
      </c>
      <c r="BK31">
        <f>BJ31*1.06</f>
        <v/>
      </c>
    </row>
    <row r="32" ht="11.65" customFormat="1" customHeight="1" s="12">
      <c r="A32" t="inlineStr">
        <is>
          <t>Lumber</t>
        </is>
      </c>
      <c r="B32" t="n">
        <v>115</v>
      </c>
      <c r="R32" t="n">
        <v>115</v>
      </c>
      <c r="S32" t="n">
        <v>2</v>
      </c>
      <c r="U32" t="n">
        <v>12</v>
      </c>
      <c r="V32" t="n">
        <v>10</v>
      </c>
      <c r="W32" t="inlineStr">
        <is>
          <t>SYP #2</t>
        </is>
      </c>
      <c r="Z32" t="n">
        <v>535</v>
      </c>
      <c r="AA32">
        <f>(B32*S32*U32*V32/12)*Z32/1000</f>
        <v/>
      </c>
      <c r="AV32">
        <f>SUM(AD32:BP32)</f>
        <v/>
      </c>
      <c r="AW32">
        <f>AV32*V32</f>
        <v/>
      </c>
      <c r="AX32">
        <f>AV32*S32*U32*V32/12</f>
        <v/>
      </c>
      <c r="AY32">
        <f>AX32*Z32/1000</f>
        <v/>
      </c>
      <c r="AZ32">
        <f>AY32*1.06</f>
        <v/>
      </c>
      <c r="BA32">
        <f>IFERROR(AY32/AA32,0)</f>
        <v/>
      </c>
      <c r="BE32">
        <f>IF(BB32&lt;&gt;"",BB32*BD32,0)</f>
        <v/>
      </c>
      <c r="BF32">
        <f>AV32-BE32</f>
        <v/>
      </c>
      <c r="BG32">
        <f>BF32*V32</f>
        <v/>
      </c>
      <c r="BH32">
        <f>(BF32*S32*U32*V32)/12</f>
        <v/>
      </c>
      <c r="BI32">
        <f>IFERROR(BH32/AV32,0)</f>
        <v/>
      </c>
      <c r="BJ32">
        <f>IFERROR(BH32*Z32/1000,0)</f>
        <v/>
      </c>
      <c r="BK32">
        <f>BJ32*1.06</f>
        <v/>
      </c>
    </row>
    <row r="33" ht="11.65" customFormat="1" customHeight="1" s="24">
      <c r="A33" t="inlineStr">
        <is>
          <t>Lumber</t>
        </is>
      </c>
      <c r="B33" t="n">
        <v>131</v>
      </c>
      <c r="R33" t="n">
        <v>131</v>
      </c>
      <c r="S33" t="n">
        <v>2</v>
      </c>
      <c r="U33" t="n">
        <v>12</v>
      </c>
      <c r="V33" t="n">
        <v>12</v>
      </c>
      <c r="W33" t="inlineStr">
        <is>
          <t>SYP #2</t>
        </is>
      </c>
      <c r="Z33" t="n">
        <v>535</v>
      </c>
      <c r="AA33">
        <f>(B33*S33*U33*V33/12)*Z33/1000</f>
        <v/>
      </c>
      <c r="AV33">
        <f>SUM(AD33:BP33)</f>
        <v/>
      </c>
      <c r="AW33">
        <f>AV33*V33</f>
        <v/>
      </c>
      <c r="AX33">
        <f>AV33*S33*U33*V33/12</f>
        <v/>
      </c>
      <c r="AY33">
        <f>AX33*Z33/1000</f>
        <v/>
      </c>
      <c r="AZ33">
        <f>AY33*1.06</f>
        <v/>
      </c>
      <c r="BA33">
        <f>IFERROR(AY33/AA33,0)</f>
        <v/>
      </c>
      <c r="BE33">
        <f>IF(BB33&lt;&gt;"",BB33*BD33,0)</f>
        <v/>
      </c>
      <c r="BF33">
        <f>AV33-BE33</f>
        <v/>
      </c>
      <c r="BG33">
        <f>BF33*V33</f>
        <v/>
      </c>
      <c r="BH33">
        <f>(BF33*S33*U33*V33)/12</f>
        <v/>
      </c>
      <c r="BI33">
        <f>IFERROR(BH33/AV33,0)</f>
        <v/>
      </c>
      <c r="BJ33">
        <f>IFERROR(BH33*Z33/1000,0)</f>
        <v/>
      </c>
      <c r="BK33">
        <f>BJ33*1.06</f>
        <v/>
      </c>
    </row>
    <row r="34" ht="23.25" customFormat="1" customHeight="1" s="12">
      <c r="A34" t="inlineStr">
        <is>
          <t>Lumber</t>
        </is>
      </c>
      <c r="B34" t="n">
        <v>26</v>
      </c>
      <c r="R34" t="n">
        <v>26</v>
      </c>
      <c r="S34" t="n">
        <v>2</v>
      </c>
      <c r="U34" t="n">
        <v>12</v>
      </c>
      <c r="V34" t="n">
        <v>14</v>
      </c>
      <c r="W34" t="inlineStr">
        <is>
          <t>SYP #2</t>
        </is>
      </c>
      <c r="Z34" t="n">
        <v>535</v>
      </c>
      <c r="AA34">
        <f>(B34*S34*U34*V34/12)*Z34/1000</f>
        <v/>
      </c>
      <c r="AV34">
        <f>SUM(AD34:BP34)</f>
        <v/>
      </c>
      <c r="AW34">
        <f>AV34*V34</f>
        <v/>
      </c>
      <c r="AX34">
        <f>AV34*S34*U34*V34/12</f>
        <v/>
      </c>
      <c r="AY34">
        <f>AX34*Z34/1000</f>
        <v/>
      </c>
      <c r="AZ34">
        <f>AY34*1.06</f>
        <v/>
      </c>
      <c r="BA34">
        <f>IFERROR(AY34/AA34,0)</f>
        <v/>
      </c>
      <c r="BE34">
        <f>IF(BB34&lt;&gt;"",BB34*BD34,0)</f>
        <v/>
      </c>
      <c r="BF34">
        <f>AV34-BE34</f>
        <v/>
      </c>
      <c r="BG34">
        <f>BF34*V34</f>
        <v/>
      </c>
      <c r="BH34">
        <f>(BF34*S34*U34*V34)/12</f>
        <v/>
      </c>
      <c r="BI34">
        <f>IFERROR(BH34/AV34,0)</f>
        <v/>
      </c>
      <c r="BJ34">
        <f>IFERROR(BH34*Z34/1000,0)</f>
        <v/>
      </c>
      <c r="BK34">
        <f>BJ34*1.06</f>
        <v/>
      </c>
    </row>
    <row r="35" ht="11.65" customFormat="1" customHeight="1" s="12">
      <c r="A35" t="inlineStr">
        <is>
          <t>Lumber</t>
        </is>
      </c>
      <c r="B35" t="n">
        <v>236</v>
      </c>
      <c r="R35" t="n">
        <v>236</v>
      </c>
      <c r="Z35" t="n">
        <v>995</v>
      </c>
      <c r="AA35">
        <f>(B35*S35*U35*V35/12)*Z35/1000</f>
        <v/>
      </c>
      <c r="AV35">
        <f>SUM(AD35:BP35)</f>
        <v/>
      </c>
      <c r="AW35">
        <f>AV35*V35</f>
        <v/>
      </c>
      <c r="AX35">
        <f>AV35*S35*U35*V35/12</f>
        <v/>
      </c>
      <c r="AY35">
        <f>AX35*Z35/1000</f>
        <v/>
      </c>
      <c r="AZ35">
        <f>AY35*1.06</f>
        <v/>
      </c>
      <c r="BA35">
        <f>IFERROR(AY35/AA35,0)</f>
        <v/>
      </c>
      <c r="BE35">
        <f>IF(BB35&lt;&gt;"",BB35*BD35,0)</f>
        <v/>
      </c>
      <c r="BF35">
        <f>AV35-BE35</f>
        <v/>
      </c>
      <c r="BG35">
        <f>BF35*V35</f>
        <v/>
      </c>
      <c r="BH35">
        <f>(BF35*S35*U35*V35)/12</f>
        <v/>
      </c>
      <c r="BI35">
        <f>IFERROR(BH35/AV35,0)</f>
        <v/>
      </c>
      <c r="BJ35">
        <f>IFERROR(BH35*Z35/1000,0)</f>
        <v/>
      </c>
      <c r="BK35">
        <f>BJ35*1.06</f>
        <v/>
      </c>
    </row>
    <row r="36" ht="69.75" customFormat="1" customHeight="1" s="12"/>
    <row r="37" ht="11.65" customFormat="1" customHeight="1" s="12"/>
    <row r="38" ht="23.25" customFormat="1" customHeight="1" s="12"/>
    <row r="39" ht="13.15" customFormat="1" customHeight="1" s="152"/>
    <row r="40" ht="34.9" customFormat="1" customHeight="1" s="24"/>
    <row r="41" ht="23.25" customFormat="1" customHeight="1" s="12"/>
    <row r="42" ht="11.65" customFormat="1" customHeight="1" s="12"/>
    <row r="43" ht="34.9" customFormat="1" customHeight="1" s="12"/>
    <row r="44" ht="34.9" customFormat="1" customHeight="1" s="12"/>
    <row r="45" ht="23.25" customFormat="1" customHeight="1" s="24"/>
    <row r="46" ht="13.15" customFormat="1" customHeight="1" s="152"/>
    <row r="47" ht="11.65" customFormat="1" customHeight="1" s="24"/>
    <row r="48" ht="11.65" customFormat="1" customHeight="1" s="12"/>
    <row r="49" ht="11.65" customFormat="1" customHeight="1" s="12"/>
    <row r="50" ht="11.65" customFormat="1" customHeight="1" s="12"/>
    <row r="51" ht="11.65" customFormat="1" customHeight="1" s="12"/>
    <row r="52" ht="11.65" customFormat="1" customHeight="1" s="12"/>
    <row r="53" ht="11.65" customFormat="1" customHeight="1" s="12"/>
    <row r="54" ht="11.65" customFormat="1" customHeight="1" s="24"/>
    <row r="55" ht="11.65" customFormat="1" customHeight="1" s="12"/>
    <row r="56" ht="11.65" customFormat="1" customHeight="1" s="163"/>
    <row r="57" ht="11.65" customFormat="1" customHeight="1" s="24"/>
    <row r="58" ht="23.25" customFormat="1" customHeight="1" s="12"/>
    <row r="59" ht="11.65" customFormat="1" customHeight="1" s="12"/>
    <row r="60" ht="11.65" customFormat="1" customHeight="1" s="12"/>
    <row r="61" ht="46.5" customFormat="1" customHeight="1" s="12"/>
    <row r="62" ht="11.65" customFormat="1" customHeight="1" s="12"/>
    <row r="63" ht="11.65" customFormat="1" customHeight="1" s="12"/>
    <row r="64" ht="36" customFormat="1" customHeight="1" s="12"/>
    <row r="65" ht="11.65" customFormat="1" customHeight="1" s="12"/>
    <row r="66" ht="11.65" customFormat="1" customHeight="1" s="12"/>
    <row r="67" ht="34.9" customFormat="1" customHeight="1" s="12"/>
    <row r="68" ht="11.65" customFormat="1" customHeight="1" s="12"/>
    <row r="69" ht="11.65" customFormat="1" customHeight="1" s="12"/>
    <row r="70" ht="11.65" customFormat="1" customHeight="1" s="12"/>
    <row r="71" ht="11.65" customFormat="1" customHeight="1" s="12"/>
    <row r="72" ht="11.65" customFormat="1" customHeight="1" s="12"/>
    <row r="73" ht="11.65" customFormat="1" customHeight="1" s="12"/>
    <row r="74" ht="11.65" customFormat="1" customHeight="1" s="12"/>
    <row r="75" ht="11.65" customFormat="1" customHeight="1" s="12"/>
    <row r="76" ht="13.15" customFormat="1" customHeight="1" s="12"/>
    <row r="77" ht="11.65" customFormat="1" customHeight="1" s="12"/>
    <row r="78" ht="13.15" customHeight="1"/>
  </sheetData>
  <mergeCells count="61">
    <mergeCell ref="BL1:BL2"/>
    <mergeCell ref="AW70:AX70"/>
    <mergeCell ref="AB1:AB2"/>
    <mergeCell ref="U34:U35"/>
    <mergeCell ref="BM1:BM2"/>
    <mergeCell ref="W36:W37"/>
    <mergeCell ref="J1:J2"/>
    <mergeCell ref="AD1:AU1"/>
    <mergeCell ref="C1:C2"/>
    <mergeCell ref="E1:E2"/>
    <mergeCell ref="K1:K2"/>
    <mergeCell ref="V1:V2"/>
    <mergeCell ref="BE1:BE2"/>
    <mergeCell ref="U36:U37"/>
    <mergeCell ref="M1:M2"/>
    <mergeCell ref="BG1:BG2"/>
    <mergeCell ref="O1:O2"/>
    <mergeCell ref="Q1:Q2"/>
    <mergeCell ref="W1:W2"/>
    <mergeCell ref="Y1:Y2"/>
    <mergeCell ref="BB1:BB2"/>
    <mergeCell ref="BD1:BD2"/>
    <mergeCell ref="V34:V35"/>
    <mergeCell ref="B1:B2"/>
    <mergeCell ref="S34:S35"/>
    <mergeCell ref="L1:L2"/>
    <mergeCell ref="AC1:AC2"/>
    <mergeCell ref="H1:H2"/>
    <mergeCell ref="N1:N2"/>
    <mergeCell ref="T1:T2"/>
    <mergeCell ref="BH1:BH2"/>
    <mergeCell ref="AW1:AW2"/>
    <mergeCell ref="V36:V37"/>
    <mergeCell ref="AW74:AX74"/>
    <mergeCell ref="X1:X2"/>
    <mergeCell ref="AY1:AY2"/>
    <mergeCell ref="BI1:BI2"/>
    <mergeCell ref="G1:G2"/>
    <mergeCell ref="I1:I2"/>
    <mergeCell ref="Z1:Z2"/>
    <mergeCell ref="T34:T35"/>
    <mergeCell ref="S36:S37"/>
    <mergeCell ref="S1:S2"/>
    <mergeCell ref="BA1:BA2"/>
    <mergeCell ref="AV1:AV2"/>
    <mergeCell ref="U1:U2"/>
    <mergeCell ref="BC1:BC2"/>
    <mergeCell ref="AX1:AX2"/>
    <mergeCell ref="BK1:BK2"/>
    <mergeCell ref="AZ1:AZ2"/>
    <mergeCell ref="BF1:BF2"/>
    <mergeCell ref="AW72:AX72"/>
    <mergeCell ref="D1:D2"/>
    <mergeCell ref="R1:R2"/>
    <mergeCell ref="F1:F2"/>
    <mergeCell ref="T36:T37"/>
    <mergeCell ref="W34:W35"/>
    <mergeCell ref="AA1:AA2"/>
    <mergeCell ref="P1:P2"/>
    <mergeCell ref="BJ1:BJ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Anjireddy Mummadi</dc:creator>
  <dcterms:created xsi:type="dcterms:W3CDTF">2015-06-05T18:17:20Z</dcterms:created>
  <dcterms:modified xsi:type="dcterms:W3CDTF">2026-07-01T10:04:00Z</dcterms:modified>
  <cp:lastModifiedBy>AJ</cp:lastModifiedBy>
</cp:coreProperties>
</file>