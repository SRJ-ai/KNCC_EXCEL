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VPO's" sheetId="1" state="visible" r:id="rId1"/>
    <sheet name="Cobia Cove Appartments" sheetId="2" state="visible" r:id="rId2"/>
    <sheet name="Willow Way Apts" sheetId="3" state="visible" r:id="rId3"/>
  </sheets>
  <externalReferences>
    <externalReference r:id="rId4"/>
    <externalReference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yyyy-mm-dd h:mm:ss"/>
    <numFmt numFmtId="170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70" fontId="1" fillId="0" borderId="0"/>
  </cellStyleXfs>
  <cellXfs count="38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169" fontId="0" fillId="0" borderId="0" pivotButton="0" quotePrefix="0" xfId="0"/>
    <xf numFmtId="169" fontId="0" fillId="0" borderId="0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Rohith | Capsol</author>
  </authors>
  <commentList>
    <comment ref="D1" authorId="0" shapeId="0">
      <text>
        <t>Rohith | Capsol:
Mockupwall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4">
      <c r="I34" s="237" t="n"/>
    </row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83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/>
    <row r="4" ht="81.40000000000001" customFormat="1" customHeight="1" s="12"/>
    <row r="5" ht="13.15" customFormat="1" customHeight="1" s="12"/>
    <row r="6" ht="13.15" customFormat="1" customHeight="1" s="12"/>
    <row r="7" ht="11.65" customFormat="1" customHeight="1" s="12"/>
    <row r="8" ht="23.25" customFormat="1" customHeight="1" s="12"/>
    <row r="9" ht="46.5" customFormat="1" customHeight="1" s="12"/>
    <row r="10" ht="23.25" customFormat="1" customHeight="1" s="12"/>
    <row r="11" ht="34.9" customFormat="1" customHeight="1" s="12"/>
    <row r="12" ht="23.25" customFormat="1" customHeight="1" s="12"/>
    <row r="13" ht="23.25" customFormat="1" customHeight="1" s="12"/>
    <row r="14" ht="11.65" customFormat="1" customHeight="1" s="12"/>
    <row r="15" ht="34.9" customFormat="1" customHeight="1" s="12"/>
    <row r="16" ht="34.9" customFormat="1" customHeight="1" s="12"/>
    <row r="17" ht="11.65" customFormat="1" customHeight="1" s="12"/>
    <row r="18" ht="11.65" customFormat="1" customHeight="1" s="12"/>
    <row r="19" ht="11.65" customFormat="1" customHeight="1" s="12"/>
    <row r="20" ht="11.65" customFormat="1" customHeight="1" s="12"/>
    <row r="21" ht="11.65" customFormat="1" customHeight="1" s="139"/>
    <row r="22" ht="11.65" customFormat="1" customHeight="1" s="12"/>
    <row r="23" ht="11.65" customFormat="1" customHeight="1" s="12"/>
    <row r="24" ht="104.65" customFormat="1" customHeight="1" s="12"/>
    <row r="25" ht="23.25" customFormat="1" customHeight="1" s="12"/>
    <row r="26" ht="23.25" customFormat="1" customHeight="1" s="12"/>
    <row r="27" ht="23.25" customFormat="1" customHeight="1" s="12"/>
    <row r="28" ht="151.15" customFormat="1" customHeight="1" s="12"/>
    <row r="29" ht="11.65" customFormat="1" customHeight="1" s="12"/>
    <row r="30" ht="11.65" customFormat="1" customHeight="1" s="12"/>
    <row r="31" ht="11.65" customFormat="1" customHeight="1" s="12"/>
    <row r="32" ht="11.65" customFormat="1" customHeight="1" s="12"/>
    <row r="33" ht="23.25" customFormat="1" customHeight="1" s="12"/>
    <row r="34" ht="11.65" customFormat="1" customHeight="1" s="12"/>
    <row r="35" ht="23.25" customFormat="1" customHeight="1" s="12"/>
    <row r="36" ht="34.9" customFormat="1" customHeight="1" s="12"/>
    <row r="37" ht="11.65" customFormat="1" customHeight="1" s="12"/>
    <row r="38" ht="11.65" customFormat="1" customHeight="1" s="12"/>
    <row r="39" ht="46.5" customFormat="1" customHeight="1" s="12"/>
    <row r="40" ht="11.65" customFormat="1" customHeight="1" s="12"/>
    <row r="41" ht="11.65" customFormat="1" customHeight="1" s="12"/>
    <row r="42" ht="11.65" customFormat="1" customHeight="1" s="12"/>
    <row r="43" ht="23.25" customFormat="1" customHeight="1" s="12"/>
    <row r="44" ht="11.65" customFormat="1" customHeight="1" s="12"/>
    <row r="45" ht="11.65" customFormat="1" customHeight="1" s="12"/>
    <row r="46" ht="11.65" customFormat="1" customHeight="1" s="12"/>
    <row r="47" ht="11.65" customFormat="1" customHeight="1" s="12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86" customFormat="1" customHeight="1" s="12"/>
    <row r="54" ht="225" customFormat="1" customHeight="1" s="12"/>
    <row r="55" ht="11.65" customFormat="1" customHeight="1" s="12"/>
    <row r="56" ht="11.65" customFormat="1" customHeight="1" s="12"/>
    <row r="57" ht="11.65" customFormat="1" customHeight="1" s="12"/>
    <row r="58" ht="11.65" customFormat="1" customHeight="1" s="12"/>
    <row r="59" ht="11.65" customFormat="1" customHeight="1" s="12"/>
    <row r="60" ht="11.65" customFormat="1" customHeight="1" s="12"/>
    <row r="61" ht="11.65" customFormat="1" customHeight="1" s="12"/>
    <row r="62" ht="11.65" customFormat="1" customHeight="1" s="12"/>
    <row r="63" ht="13.15" customFormat="1" customHeight="1" s="106"/>
    <row r="64" ht="12" customFormat="1" customHeight="1" s="24"/>
    <row r="65" ht="12" customFormat="1" customHeight="1" s="12"/>
    <row r="66" ht="12" customFormat="1" customHeight="1" s="12"/>
    <row r="67" ht="12" customFormat="1" customHeight="1" s="12"/>
    <row r="68" ht="12" customFormat="1" customHeight="1" s="12"/>
    <row r="69" ht="13.1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1.65" customFormat="1" customHeight="1" s="12"/>
    <row r="77" ht="11.65" customFormat="1" customHeight="1" s="12"/>
    <row r="78" ht="11.65" customFormat="1" customHeight="1" s="12"/>
    <row r="79" ht="11.65" customFormat="1" customHeight="1" s="12"/>
    <row r="80" ht="11.65" customFormat="1" customHeight="1" s="12"/>
    <row r="81" ht="11.65" customFormat="1" customHeight="1" s="12"/>
    <row r="82" ht="11.65" customFormat="1" customHeight="1" s="12"/>
    <row r="83" ht="11.65" customFormat="1" customHeight="1" s="12"/>
    <row r="84" ht="11.65" customFormat="1" customHeight="1" s="12"/>
    <row r="85" ht="11.65" customFormat="1" customHeight="1" s="12"/>
    <row r="86" ht="21" customHeight="1"/>
    <row r="87" ht="13.15" customFormat="1" customHeight="1" s="106"/>
    <row r="88" ht="12" customFormat="1" customHeight="1" s="24"/>
    <row r="89" ht="13.15" customFormat="1" customHeight="1" s="12"/>
    <row r="90" ht="23.25" customFormat="1" customHeight="1" s="12"/>
    <row r="91" ht="23.25" customFormat="1" customHeight="1" s="12"/>
    <row r="92" ht="23.25" customFormat="1" customHeight="1" s="12"/>
    <row r="93" ht="11.65" customFormat="1" customHeight="1" s="12"/>
    <row r="94" ht="11.65" customFormat="1" customHeight="1" s="12"/>
    <row r="95" ht="11.65" customFormat="1" customHeight="1" s="12"/>
    <row r="96" ht="11.65" customFormat="1" customHeight="1" s="12"/>
    <row r="97" ht="11.65" customFormat="1" customHeight="1" s="12"/>
    <row r="98" ht="23.25" customFormat="1" customHeight="1" s="12"/>
    <row r="99" ht="11.65" customFormat="1" customHeight="1" s="12"/>
    <row r="100" ht="11.65" customFormat="1" customHeight="1" s="12"/>
    <row r="101" ht="34.9" customFormat="1" customHeight="1" s="12"/>
    <row r="102" ht="23.25" customFormat="1" customHeight="1" s="12"/>
    <row r="103" ht="11.65" customFormat="1" customHeight="1" s="12"/>
    <row r="104" ht="11.65" customFormat="1" customHeight="1" s="94"/>
    <row r="105" ht="12" customFormat="1" customHeight="1" s="24"/>
    <row r="106" ht="117" customFormat="1" customHeight="1" s="12"/>
    <row r="107" ht="11.65" customFormat="1" customHeight="1" s="12"/>
    <row r="108" ht="100.5" customFormat="1" customHeight="1" s="12"/>
    <row r="109" ht="11.65" customFormat="1" customHeight="1" s="12"/>
    <row r="110" ht="11.65" customFormat="1" customHeight="1" s="12"/>
    <row r="111" ht="192.75" customFormat="1" customHeight="1" s="12"/>
    <row r="112" ht="11.65" customFormat="1" customHeight="1" s="12"/>
    <row r="113" ht="11.65" customFormat="1" customHeight="1" s="12"/>
    <row r="114" ht="46.5" customFormat="1" customHeight="1" s="12"/>
    <row r="115" ht="11.65" customFormat="1" customHeight="1" s="12"/>
    <row r="116" ht="11.65" customFormat="1" customHeight="1" s="12"/>
    <row r="117" ht="11.65" customFormat="1" customHeight="1" s="12"/>
    <row r="118" ht="11.65" customFormat="1" customHeight="1" s="12"/>
    <row r="119" ht="11.65" customFormat="1" customHeight="1" s="12"/>
    <row r="120" ht="12" customFormat="1" customHeight="1" s="12" thickBot="1"/>
    <row r="121" ht="12.75" customHeight="1"/>
    <row r="122" ht="12.75" customHeight="1" thickBo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3.15" customHeight="1"/>
    <row r="135" ht="12.75" customHeight="1"/>
    <row r="136" ht="12.75" customHeight="1"/>
    <row r="137" ht="13.1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5" ht="12.75" customHeight="1"/>
    <row r="156" ht="12.75" customHeight="1" thickBot="1"/>
    <row r="157" ht="12.75" customHeight="1"/>
    <row r="158" ht="12.75" customHeight="1"/>
    <row r="159" ht="12.75" customHeight="1"/>
    <row r="160" ht="12.75" customHeight="1"/>
    <row r="161" ht="33" customHeight="1"/>
    <row r="162" ht="12.75" customHeight="1"/>
    <row r="163" ht="34.9" customHeight="1"/>
    <row r="164" ht="23.25" customFormat="1" customHeight="1" s="12"/>
    <row r="165" ht="81.40000000000001" customHeight="1"/>
    <row r="166" ht="12.75" customHeight="1"/>
    <row r="167" ht="12.75" customHeight="1"/>
    <row r="168" ht="23.25" customHeight="1"/>
    <row r="169" ht="12.75" customHeight="1"/>
    <row r="170" ht="34.9" customHeight="1"/>
    <row r="171" ht="12.75" customHeight="1"/>
    <row r="172" ht="12.75" customHeight="1"/>
    <row r="173" ht="12.75" customHeight="1"/>
    <row r="174" ht="12.75" customHeight="1"/>
    <row r="175" ht="13.15" customHeight="1"/>
    <row r="176" ht="13.15" customHeight="1"/>
    <row r="177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6" ht="12.75" customHeight="1"/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74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>
        <v>45968</v>
      </c>
      <c r="AR2" s="119" t="n">
        <v>45967</v>
      </c>
      <c r="AS2" s="119" t="n">
        <v>45974</v>
      </c>
      <c r="AT2" s="119" t="n">
        <v>45978</v>
      </c>
      <c r="AU2" s="119" t="n">
        <v>45979</v>
      </c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  <c r="BN2" s="386" t="n">
        <v>45986</v>
      </c>
      <c r="BO2" s="386" t="n">
        <v>46010</v>
      </c>
      <c r="BP2" s="386" t="n">
        <v>46020</v>
      </c>
    </row>
    <row r="3" ht="11.65" customFormat="1" customHeight="1" s="12">
      <c r="A3" t="inlineStr">
        <is>
          <t>Lumber</t>
        </is>
      </c>
      <c r="B3" t="n">
        <v>5</v>
      </c>
      <c r="R3" t="n">
        <v>5</v>
      </c>
      <c r="S3" t="n">
        <v>6</v>
      </c>
      <c r="U3" t="n">
        <v>6</v>
      </c>
      <c r="V3" t="n">
        <v>10</v>
      </c>
      <c r="W3" t="inlineStr">
        <is>
          <t>PT</t>
        </is>
      </c>
      <c r="Z3" t="n">
        <v>1145</v>
      </c>
      <c r="AA3">
        <f>(B3*S3*U3*V3/12)*Z3/1000</f>
        <v/>
      </c>
      <c r="AV3">
        <f>SUM(AD3:BP3)</f>
        <v/>
      </c>
      <c r="AW3">
        <f>AV3*V3</f>
        <v/>
      </c>
      <c r="AX3">
        <f>AV3*S3*U3*V3/12</f>
        <v/>
      </c>
      <c r="AY3">
        <f>AX3*Z3/1000</f>
        <v/>
      </c>
      <c r="AZ3">
        <f>AY3*1.06</f>
        <v/>
      </c>
      <c r="BA3">
        <f>IFERROR(AY3/AA3,0)</f>
        <v/>
      </c>
      <c r="BE3">
        <f>IF(BB3&lt;&gt;"",BB3*BD3,0)</f>
        <v/>
      </c>
      <c r="BF3">
        <f>AV3-BE3</f>
        <v/>
      </c>
      <c r="BG3">
        <f>BF3*V3</f>
        <v/>
      </c>
      <c r="BH3">
        <f>(BF3*S3*U3*V3)/12</f>
        <v/>
      </c>
      <c r="BI3">
        <f>IFERROR(BH3/AV3,0)</f>
        <v/>
      </c>
      <c r="BJ3">
        <f>IFERROR(BH3*Z3/1000,0)</f>
        <v/>
      </c>
      <c r="BK3">
        <f>BJ3*1.06</f>
        <v/>
      </c>
    </row>
    <row r="4" ht="11.65" customFormat="1" customHeight="1" s="12">
      <c r="A4" t="inlineStr">
        <is>
          <t>Lumber</t>
        </is>
      </c>
      <c r="B4" t="n">
        <v>2922</v>
      </c>
      <c r="R4" t="n">
        <v>2922</v>
      </c>
      <c r="S4" t="n">
        <v>2</v>
      </c>
      <c r="U4" t="n">
        <v>4</v>
      </c>
      <c r="V4" t="n">
        <v>1</v>
      </c>
      <c r="W4" t="inlineStr">
        <is>
          <t>PT</t>
        </is>
      </c>
      <c r="Z4" t="n">
        <v>785</v>
      </c>
      <c r="AA4">
        <f>(B4*S4*U4*V4/12)*Z4/1000</f>
        <v/>
      </c>
      <c r="AV4">
        <f>SUM(AD4:BP4)</f>
        <v/>
      </c>
      <c r="AW4">
        <f>AV4*V4</f>
        <v/>
      </c>
      <c r="AX4">
        <f>AV4*S4*U4*V4/12</f>
        <v/>
      </c>
      <c r="AY4">
        <f>AX4*Z4/1000</f>
        <v/>
      </c>
      <c r="AZ4">
        <f>AY4*1.06</f>
        <v/>
      </c>
      <c r="BA4">
        <f>IFERROR(AY4/AA4,0)</f>
        <v/>
      </c>
      <c r="BE4">
        <f>IF(BB4&lt;&gt;"",BB4*BD4,0)</f>
        <v/>
      </c>
      <c r="BF4">
        <f>AV4-BE4</f>
        <v/>
      </c>
      <c r="BG4">
        <f>BF4*V4</f>
        <v/>
      </c>
      <c r="BH4">
        <f>(BF4*S4*U4*V4)/12</f>
        <v/>
      </c>
      <c r="BI4">
        <f>IFERROR(BH4/AV4,0)</f>
        <v/>
      </c>
      <c r="BJ4">
        <f>IFERROR(BH4*Z4/1000,0)</f>
        <v/>
      </c>
      <c r="BK4">
        <f>BJ4*1.06</f>
        <v/>
      </c>
    </row>
    <row r="5" ht="34.9" customFormat="1" customHeight="1" s="12">
      <c r="A5" t="inlineStr">
        <is>
          <t>Lumber</t>
        </is>
      </c>
      <c r="B5" t="n">
        <v>5</v>
      </c>
      <c r="R5" t="n">
        <v>5</v>
      </c>
      <c r="S5" t="n">
        <v>2</v>
      </c>
      <c r="U5" t="n">
        <v>4</v>
      </c>
      <c r="V5" t="n">
        <v>10</v>
      </c>
      <c r="W5" t="inlineStr">
        <is>
          <t>PT</t>
        </is>
      </c>
      <c r="Z5" t="n">
        <v>785</v>
      </c>
      <c r="AA5">
        <f>(B5*S5*U5*V5/12)*Z5/1000</f>
        <v/>
      </c>
      <c r="AV5">
        <f>SUM(AD5:BP5)</f>
        <v/>
      </c>
      <c r="AW5">
        <f>AV5*V5</f>
        <v/>
      </c>
      <c r="AX5">
        <f>AV5*S5*U5*V5/12</f>
        <v/>
      </c>
      <c r="AY5">
        <f>AX5*Z5/1000</f>
        <v/>
      </c>
      <c r="AZ5">
        <f>AY5*1.06</f>
        <v/>
      </c>
      <c r="BA5">
        <f>IFERROR(AY5/AA5,0)</f>
        <v/>
      </c>
      <c r="BE5">
        <f>IF(BB5&lt;&gt;"",BB5*BD5,0)</f>
        <v/>
      </c>
      <c r="BF5">
        <f>AV5-BE5</f>
        <v/>
      </c>
      <c r="BG5">
        <f>BF5*V5</f>
        <v/>
      </c>
      <c r="BH5">
        <f>(BF5*S5*U5*V5)/12</f>
        <v/>
      </c>
      <c r="BI5">
        <f>IFERROR(BH5/AV5,0)</f>
        <v/>
      </c>
      <c r="BJ5">
        <f>IFERROR(BH5*Z5/1000,0)</f>
        <v/>
      </c>
      <c r="BK5">
        <f>BJ5*1.06</f>
        <v/>
      </c>
    </row>
    <row r="6" ht="23.25" customFormat="1" customHeight="1" s="12">
      <c r="A6" t="inlineStr">
        <is>
          <t>Lumber</t>
        </is>
      </c>
      <c r="B6" t="n">
        <v>2846</v>
      </c>
      <c r="R6" t="n">
        <v>2846</v>
      </c>
      <c r="S6" t="n">
        <v>2</v>
      </c>
      <c r="U6" t="n">
        <v>6</v>
      </c>
      <c r="V6" t="n">
        <v>1</v>
      </c>
      <c r="W6" t="inlineStr">
        <is>
          <t>PT</t>
        </is>
      </c>
      <c r="Z6" t="n">
        <v>785</v>
      </c>
      <c r="AA6">
        <f>(B6*S6*U6*V6/12)*Z6/1000</f>
        <v/>
      </c>
      <c r="AV6">
        <f>SUM(AD6:BP6)</f>
        <v/>
      </c>
      <c r="AW6">
        <f>AV6*V6</f>
        <v/>
      </c>
      <c r="AX6">
        <f>AV6*S6*U6*V6/12</f>
        <v/>
      </c>
      <c r="AY6">
        <f>AX6*Z6/1000</f>
        <v/>
      </c>
      <c r="AZ6">
        <f>AY6*1.06</f>
        <v/>
      </c>
      <c r="BA6">
        <f>IFERROR(AY6/AA6,0)</f>
        <v/>
      </c>
      <c r="BE6">
        <f>IF(BB6&lt;&gt;"",BB6*BD6,0)</f>
        <v/>
      </c>
      <c r="BF6">
        <f>AV6-BE6</f>
        <v/>
      </c>
      <c r="BG6">
        <f>BF6*V6</f>
        <v/>
      </c>
      <c r="BH6">
        <f>(BF6*S6*U6*V6)/12</f>
        <v/>
      </c>
      <c r="BI6">
        <f>IFERROR(BH6/AV6,0)</f>
        <v/>
      </c>
      <c r="BJ6">
        <f>IFERROR(BH6*Z6/1000,0)</f>
        <v/>
      </c>
      <c r="BK6">
        <f>BJ6*1.06</f>
        <v/>
      </c>
    </row>
    <row r="7" ht="23.25" customFormat="1" customHeight="1" s="12">
      <c r="A7" t="inlineStr">
        <is>
          <t>Lumber</t>
        </is>
      </c>
      <c r="B7" t="n">
        <v>378</v>
      </c>
      <c r="R7" t="n">
        <v>378</v>
      </c>
      <c r="S7" t="n">
        <v>2</v>
      </c>
      <c r="U7" t="n">
        <v>8</v>
      </c>
      <c r="V7" t="n">
        <v>1</v>
      </c>
      <c r="W7" t="inlineStr">
        <is>
          <t>PT</t>
        </is>
      </c>
      <c r="Z7" t="n">
        <v>815</v>
      </c>
      <c r="AA7">
        <f>(B7*S7*U7*V7/12)*Z7/1000</f>
        <v/>
      </c>
      <c r="AV7">
        <f>SUM(AD7:BP7)</f>
        <v/>
      </c>
      <c r="AW7">
        <f>AV7*V7</f>
        <v/>
      </c>
      <c r="AX7">
        <f>AV7*S7*U7*V7/12</f>
        <v/>
      </c>
      <c r="AY7">
        <f>AX7*Z7/1000</f>
        <v/>
      </c>
      <c r="AZ7">
        <f>AY7*1.06</f>
        <v/>
      </c>
      <c r="BA7">
        <f>IFERROR(AY7/AA7,0)</f>
        <v/>
      </c>
      <c r="BE7">
        <f>IF(BB7&lt;&gt;"",BB7*BD7,0)</f>
        <v/>
      </c>
      <c r="BF7">
        <f>AV7-BE7</f>
        <v/>
      </c>
      <c r="BG7">
        <f>BF7*V7</f>
        <v/>
      </c>
      <c r="BH7">
        <f>(BF7*S7*U7*V7)/12</f>
        <v/>
      </c>
      <c r="BI7">
        <f>IFERROR(BH7/AV7,0)</f>
        <v/>
      </c>
      <c r="BJ7">
        <f>IFERROR(BH7*Z7/1000,0)</f>
        <v/>
      </c>
      <c r="BK7">
        <f>BJ7*1.06</f>
        <v/>
      </c>
    </row>
    <row r="8" ht="46.5" customFormat="1" customHeight="1" s="12">
      <c r="A8" t="inlineStr">
        <is>
          <t>Lumber</t>
        </is>
      </c>
      <c r="B8" t="n">
        <v>51980</v>
      </c>
      <c r="R8" t="n">
        <v>51980</v>
      </c>
      <c r="S8" t="n">
        <v>2</v>
      </c>
      <c r="U8" t="n">
        <v>4</v>
      </c>
      <c r="V8" t="n">
        <v>1</v>
      </c>
      <c r="W8" t="inlineStr">
        <is>
          <t>SYP #2</t>
        </is>
      </c>
      <c r="Z8" t="n">
        <v>515</v>
      </c>
      <c r="AA8">
        <f>(B8*S8*U8*V8/12)*Z8/1000</f>
        <v/>
      </c>
      <c r="AV8">
        <f>SUM(AD8:BP8)</f>
        <v/>
      </c>
      <c r="AW8">
        <f>AV8*V8</f>
        <v/>
      </c>
      <c r="AX8">
        <f>AV8*S8*U8*V8/12</f>
        <v/>
      </c>
      <c r="AY8">
        <f>AX8*Z8/1000</f>
        <v/>
      </c>
      <c r="AZ8">
        <f>AY8*1.06</f>
        <v/>
      </c>
      <c r="BA8">
        <f>IFERROR(AY8/AA8,0)</f>
        <v/>
      </c>
      <c r="BE8">
        <f>IF(BB8&lt;&gt;"",BB8*BD8,0)</f>
        <v/>
      </c>
      <c r="BF8">
        <f>AV8-BE8</f>
        <v/>
      </c>
      <c r="BG8">
        <f>BF8*V8</f>
        <v/>
      </c>
      <c r="BH8">
        <f>(BF8*S8*U8*V8)/12</f>
        <v/>
      </c>
      <c r="BI8">
        <f>IFERROR(BH8/AV8,0)</f>
        <v/>
      </c>
      <c r="BJ8">
        <f>IFERROR(BH8*Z8/1000,0)</f>
        <v/>
      </c>
      <c r="BK8">
        <f>BJ8*1.06</f>
        <v/>
      </c>
    </row>
    <row r="9" ht="11.65" customFormat="1" customHeight="1" s="12">
      <c r="A9" t="inlineStr">
        <is>
          <t>Lumber</t>
        </is>
      </c>
      <c r="B9" t="n">
        <v>1175</v>
      </c>
      <c r="R9" t="n">
        <v>1175</v>
      </c>
      <c r="S9" t="n">
        <v>2</v>
      </c>
      <c r="U9" t="n">
        <v>4</v>
      </c>
      <c r="V9" t="n">
        <v>1</v>
      </c>
      <c r="W9" t="inlineStr">
        <is>
          <t>SYP #2</t>
        </is>
      </c>
      <c r="Z9" t="n">
        <v>515</v>
      </c>
      <c r="AA9">
        <f>(B9*S9*U9*V9/12)*Z9/1000</f>
        <v/>
      </c>
      <c r="AV9">
        <f>SUM(AD9:BP9)</f>
        <v/>
      </c>
      <c r="AW9">
        <f>AV9*V9</f>
        <v/>
      </c>
      <c r="AX9">
        <f>AV9*S9*U9*V9/12</f>
        <v/>
      </c>
      <c r="AY9">
        <f>AX9*Z9/1000</f>
        <v/>
      </c>
      <c r="AZ9">
        <f>AY9*1.06</f>
        <v/>
      </c>
      <c r="BA9">
        <f>IFERROR(AY9/AA9,0)</f>
        <v/>
      </c>
      <c r="BE9">
        <f>IF(BB9&lt;&gt;"",BB9*BD9,0)</f>
        <v/>
      </c>
      <c r="BF9">
        <f>AV9-BE9</f>
        <v/>
      </c>
      <c r="BG9">
        <f>BF9*V9</f>
        <v/>
      </c>
      <c r="BH9">
        <f>(BF9*S9*U9*V9)/12</f>
        <v/>
      </c>
      <c r="BI9">
        <f>IFERROR(BH9/AV9,0)</f>
        <v/>
      </c>
      <c r="BJ9">
        <f>IFERROR(BH9*Z9/1000,0)</f>
        <v/>
      </c>
      <c r="BK9">
        <f>BJ9*1.06</f>
        <v/>
      </c>
    </row>
    <row r="10" ht="11.65" customFormat="1" customHeight="1" s="12">
      <c r="A10" t="inlineStr">
        <is>
          <t>Lumber</t>
        </is>
      </c>
      <c r="B10" t="n">
        <v>478</v>
      </c>
      <c r="R10" t="n">
        <v>478</v>
      </c>
      <c r="S10" t="n">
        <v>2</v>
      </c>
      <c r="U10" t="n">
        <v>4</v>
      </c>
      <c r="V10" t="n">
        <v>12</v>
      </c>
      <c r="W10" t="inlineStr">
        <is>
          <t>SYP #2</t>
        </is>
      </c>
      <c r="Z10" t="n">
        <v>515</v>
      </c>
      <c r="AA10">
        <f>(B10*S10*U10*V10/12)*Z10/1000</f>
        <v/>
      </c>
      <c r="AV10">
        <f>SUM(AD10:BP10)</f>
        <v/>
      </c>
      <c r="AW10">
        <f>AV10*V10</f>
        <v/>
      </c>
      <c r="AX10">
        <f>AV10*S10*U10*V10/12</f>
        <v/>
      </c>
      <c r="AY10">
        <f>AX10*Z10/1000</f>
        <v/>
      </c>
      <c r="AZ10">
        <f>AY10*1.06</f>
        <v/>
      </c>
      <c r="BA10">
        <f>IFERROR(AY10/AA10,0)</f>
        <v/>
      </c>
      <c r="BE10">
        <f>IF(BB10&lt;&gt;"",BB10*BD10,0)</f>
        <v/>
      </c>
      <c r="BF10">
        <f>AV10-BE10</f>
        <v/>
      </c>
      <c r="BG10">
        <f>BF10*V10</f>
        <v/>
      </c>
      <c r="BH10">
        <f>(BF10*S10*U10*V10)/12</f>
        <v/>
      </c>
      <c r="BI10">
        <f>IFERROR(BH10/AV10,0)</f>
        <v/>
      </c>
      <c r="BJ10">
        <f>IFERROR(BH10*Z10/1000,0)</f>
        <v/>
      </c>
      <c r="BK10">
        <f>BJ10*1.06</f>
        <v/>
      </c>
    </row>
    <row r="11" ht="11.65" customFormat="1" customHeight="1" s="12">
      <c r="A11" t="inlineStr">
        <is>
          <t>Lumber</t>
        </is>
      </c>
      <c r="B11" t="n">
        <v>26</v>
      </c>
      <c r="R11" t="n">
        <v>26</v>
      </c>
      <c r="S11" t="n">
        <v>2</v>
      </c>
      <c r="U11" t="n">
        <v>4</v>
      </c>
      <c r="V11" t="n">
        <v>8</v>
      </c>
      <c r="W11" t="inlineStr">
        <is>
          <t>SYP #2</t>
        </is>
      </c>
      <c r="Z11" t="n">
        <v>515</v>
      </c>
      <c r="AA11">
        <f>(B11*S11*U11*V11/12)*Z11/1000</f>
        <v/>
      </c>
      <c r="AV11">
        <f>SUM(AD11:BP11)</f>
        <v/>
      </c>
      <c r="AW11">
        <f>AV11*V11</f>
        <v/>
      </c>
      <c r="AX11">
        <f>AV11*S11*U11*V11/12</f>
        <v/>
      </c>
      <c r="AY11">
        <f>AX11*Z11/1000</f>
        <v/>
      </c>
      <c r="AZ11">
        <f>AY11*1.06</f>
        <v/>
      </c>
      <c r="BA11">
        <f>IFERROR(AY11/AA11,0)</f>
        <v/>
      </c>
      <c r="BE11">
        <f>IF(BB11&lt;&gt;"",BB11*BD11,0)</f>
        <v/>
      </c>
      <c r="BF11">
        <f>AV11-BE11</f>
        <v/>
      </c>
      <c r="BG11">
        <f>BF11*V11</f>
        <v/>
      </c>
      <c r="BH11">
        <f>(BF11*S11*U11*V11)/12</f>
        <v/>
      </c>
      <c r="BI11">
        <f>IFERROR(BH11/AV11,0)</f>
        <v/>
      </c>
      <c r="BJ11">
        <f>IFERROR(BH11*Z11/1000,0)</f>
        <v/>
      </c>
      <c r="BK11">
        <f>BJ11*1.06</f>
        <v/>
      </c>
    </row>
    <row r="12" ht="11.65" customFormat="1" customHeight="1" s="12">
      <c r="A12" t="inlineStr">
        <is>
          <t>Lumber</t>
        </is>
      </c>
      <c r="B12" t="n">
        <v>7116</v>
      </c>
      <c r="R12" t="n">
        <v>7116</v>
      </c>
      <c r="S12" t="n">
        <v>2</v>
      </c>
      <c r="U12" t="n">
        <v>4</v>
      </c>
      <c r="V12" t="n">
        <v>9</v>
      </c>
      <c r="W12" t="inlineStr">
        <is>
          <t>SYP #2 PET 104-5/8</t>
        </is>
      </c>
      <c r="Z12" t="n">
        <v>525</v>
      </c>
      <c r="AA12">
        <f>(B12*S12*U12*V12/12)*Z12/1000</f>
        <v/>
      </c>
      <c r="AC12" t="inlineStr">
        <is>
          <t>60126001
60126006
60126012
60126014
60126016
60126017
60126025
60126029
60126030
60126032
60126036</t>
        </is>
      </c>
      <c r="AH12" t="n">
        <v>2560</v>
      </c>
      <c r="AQ12" t="n">
        <v>6720</v>
      </c>
      <c r="AR12" t="n">
        <v>480</v>
      </c>
      <c r="AS12" t="n">
        <v>480</v>
      </c>
      <c r="AT12" t="n">
        <v>4160</v>
      </c>
      <c r="AU12" t="n">
        <v>2560</v>
      </c>
      <c r="AV12">
        <f>SUM(AD12:BP12)</f>
        <v/>
      </c>
      <c r="AW12">
        <f>AV12*V12</f>
        <v/>
      </c>
      <c r="AX12">
        <f>AV12*S12*U12*V12/12</f>
        <v/>
      </c>
      <c r="AY12">
        <f>AX12*Z12/1000</f>
        <v/>
      </c>
      <c r="AZ12">
        <f>AY12*1.06</f>
        <v/>
      </c>
      <c r="BA12">
        <f>IFERROR(AY12/AA12,0)</f>
        <v/>
      </c>
      <c r="BE12">
        <f>IF(BB12&lt;&gt;"",BB12*BD12,0)</f>
        <v/>
      </c>
      <c r="BF12">
        <f>AV12-BE12</f>
        <v/>
      </c>
      <c r="BG12">
        <f>BF12*V12</f>
        <v/>
      </c>
      <c r="BH12">
        <f>(BF12*S12*U12*V12)/12</f>
        <v/>
      </c>
      <c r="BI12">
        <f>IFERROR(BH12/AV12,0)</f>
        <v/>
      </c>
      <c r="BJ12">
        <f>IFERROR(BH12*Z12/1000,0)</f>
        <v/>
      </c>
      <c r="BK12">
        <f>BJ12*1.06</f>
        <v/>
      </c>
      <c r="BN12" t="n">
        <v>2560</v>
      </c>
      <c r="BO12" t="n">
        <v>1664</v>
      </c>
      <c r="BP12" t="n">
        <v>128</v>
      </c>
    </row>
    <row r="13" ht="11.65" customFormat="1" customHeight="1" s="12">
      <c r="A13" t="inlineStr">
        <is>
          <t>Lumber</t>
        </is>
      </c>
      <c r="B13" t="n">
        <v>353</v>
      </c>
      <c r="R13" t="n">
        <v>353</v>
      </c>
      <c r="S13" t="n">
        <v>2</v>
      </c>
      <c r="U13" t="n">
        <v>4</v>
      </c>
      <c r="V13" t="n">
        <v>12</v>
      </c>
      <c r="W13" t="inlineStr">
        <is>
          <t>SYP #2</t>
        </is>
      </c>
      <c r="Z13" t="n">
        <v>515</v>
      </c>
      <c r="AA13">
        <f>(B13*S13*U13*V13/12)*Z13/1000</f>
        <v/>
      </c>
      <c r="AV13">
        <f>SUM(AD13:BP13)</f>
        <v/>
      </c>
      <c r="AW13">
        <f>AV13*V13</f>
        <v/>
      </c>
      <c r="AX13">
        <f>AV13*S13*U13*V13/12</f>
        <v/>
      </c>
      <c r="AY13">
        <f>AX13*Z13/1000</f>
        <v/>
      </c>
      <c r="AZ13">
        <f>AY13*1.06</f>
        <v/>
      </c>
      <c r="BA13">
        <f>IFERROR(AY13/AA13,0)</f>
        <v/>
      </c>
      <c r="BE13">
        <f>IF(BB13&lt;&gt;"",BB13*BD13,0)</f>
        <v/>
      </c>
      <c r="BF13">
        <f>AV13-BE13</f>
        <v/>
      </c>
      <c r="BG13">
        <f>BF13*V13</f>
        <v/>
      </c>
      <c r="BH13">
        <f>(BF13*S13*U13*V13)/12</f>
        <v/>
      </c>
      <c r="BI13">
        <f>IFERROR(BH13/AV13,0)</f>
        <v/>
      </c>
      <c r="BJ13">
        <f>IFERROR(BH13*Z13/1000,0)</f>
        <v/>
      </c>
      <c r="BK13">
        <f>BJ13*1.06</f>
        <v/>
      </c>
    </row>
    <row r="14" ht="11.65" customFormat="1" customHeight="1" s="12">
      <c r="A14" t="inlineStr">
        <is>
          <t>Lumber</t>
        </is>
      </c>
      <c r="B14" t="n">
        <v>158</v>
      </c>
      <c r="R14" t="n">
        <v>158</v>
      </c>
      <c r="S14" t="n">
        <v>2</v>
      </c>
      <c r="U14" t="n">
        <v>4</v>
      </c>
      <c r="V14" t="n">
        <v>14</v>
      </c>
      <c r="W14" t="inlineStr">
        <is>
          <t>SYP #2</t>
        </is>
      </c>
      <c r="Z14" t="n">
        <v>515</v>
      </c>
      <c r="AA14">
        <f>(B14*S14*U14*V14/12)*Z14/1000</f>
        <v/>
      </c>
      <c r="AV14">
        <f>SUM(AD14:BP14)</f>
        <v/>
      </c>
      <c r="AW14">
        <f>AV14*V14</f>
        <v/>
      </c>
      <c r="AX14">
        <f>AV14*S14*U14*V14/12</f>
        <v/>
      </c>
      <c r="AY14">
        <f>AX14*Z14/1000</f>
        <v/>
      </c>
      <c r="AZ14">
        <f>AY14*1.06</f>
        <v/>
      </c>
      <c r="BA14">
        <f>IFERROR(AY14/AA14,0)</f>
        <v/>
      </c>
      <c r="BE14">
        <f>IF(BB14&lt;&gt;"",BB14*BD14,0)</f>
        <v/>
      </c>
      <c r="BF14">
        <f>AV14-BE14</f>
        <v/>
      </c>
      <c r="BG14">
        <f>BF14*V14</f>
        <v/>
      </c>
      <c r="BH14">
        <f>(BF14*S14*U14*V14)/12</f>
        <v/>
      </c>
      <c r="BI14">
        <f>IFERROR(BH14/AV14,0)</f>
        <v/>
      </c>
      <c r="BJ14">
        <f>IFERROR(BH14*Z14/1000,0)</f>
        <v/>
      </c>
      <c r="BK14">
        <f>BJ14*1.06</f>
        <v/>
      </c>
    </row>
    <row r="15" ht="34.9" customFormat="1" customHeight="1" s="12">
      <c r="A15" t="inlineStr">
        <is>
          <t>Lumber</t>
        </is>
      </c>
      <c r="B15" t="n">
        <v>21</v>
      </c>
      <c r="R15" t="n">
        <v>21</v>
      </c>
      <c r="S15" t="n">
        <v>2</v>
      </c>
      <c r="U15" t="n">
        <v>4</v>
      </c>
      <c r="V15" t="n">
        <v>16</v>
      </c>
      <c r="W15" t="inlineStr">
        <is>
          <t>SYP #2</t>
        </is>
      </c>
      <c r="Z15" t="n">
        <v>515</v>
      </c>
      <c r="AA15">
        <f>(B15*S15*U15*V15/12)*Z15/1000</f>
        <v/>
      </c>
      <c r="AV15">
        <f>SUM(AD15:BP15)</f>
        <v/>
      </c>
      <c r="AW15">
        <f>AV15*V15</f>
        <v/>
      </c>
      <c r="AX15">
        <f>AV15*S15*U15*V15/12</f>
        <v/>
      </c>
      <c r="AY15">
        <f>AX15*Z15/1000</f>
        <v/>
      </c>
      <c r="AZ15">
        <f>AY15*1.06</f>
        <v/>
      </c>
      <c r="BA15">
        <f>IFERROR(AY15/AA15,0)</f>
        <v/>
      </c>
      <c r="BE15">
        <f>IF(BB15&lt;&gt;"",BB15*BD15,0)</f>
        <v/>
      </c>
      <c r="BF15">
        <f>AV15-BE15</f>
        <v/>
      </c>
      <c r="BG15">
        <f>BF15*V15</f>
        <v/>
      </c>
      <c r="BH15">
        <f>(BF15*S15*U15*V15)/12</f>
        <v/>
      </c>
      <c r="BI15">
        <f>IFERROR(BH15/AV15,0)</f>
        <v/>
      </c>
      <c r="BJ15">
        <f>IFERROR(BH15*Z15/1000,0)</f>
        <v/>
      </c>
      <c r="BK15">
        <f>BJ15*1.06</f>
        <v/>
      </c>
    </row>
    <row r="16" ht="11.65" customFormat="1" customHeight="1" s="12">
      <c r="A16" t="inlineStr">
        <is>
          <t>Lumber</t>
        </is>
      </c>
      <c r="B16" t="n">
        <v>37494</v>
      </c>
      <c r="R16" t="n">
        <v>37494</v>
      </c>
      <c r="S16" t="n">
        <v>2</v>
      </c>
      <c r="U16" t="n">
        <v>6</v>
      </c>
      <c r="V16" t="n">
        <v>1</v>
      </c>
      <c r="W16" t="inlineStr">
        <is>
          <t>SYP #2</t>
        </is>
      </c>
      <c r="Z16" t="n">
        <v>435</v>
      </c>
      <c r="AA16">
        <f>(B16*S16*U16*V16/12)*Z16/1000</f>
        <v/>
      </c>
      <c r="AV16">
        <f>SUM(AD16:BP16)</f>
        <v/>
      </c>
      <c r="AW16">
        <f>AV16*V16</f>
        <v/>
      </c>
      <c r="AX16">
        <f>AV16*S16*U16*V16/12</f>
        <v/>
      </c>
      <c r="AY16">
        <f>AX16*Z16/1000</f>
        <v/>
      </c>
      <c r="AZ16">
        <f>AY16*1.06</f>
        <v/>
      </c>
      <c r="BA16">
        <f>IFERROR(AY16/AA16,0)</f>
        <v/>
      </c>
      <c r="BE16">
        <f>IF(BB16&lt;&gt;"",BB16*BD16,0)</f>
        <v/>
      </c>
      <c r="BF16">
        <f>AV16-BE16</f>
        <v/>
      </c>
      <c r="BG16">
        <f>BF16*V16</f>
        <v/>
      </c>
      <c r="BH16">
        <f>(BF16*S16*U16*V16)/12</f>
        <v/>
      </c>
      <c r="BI16">
        <f>IFERROR(BH16/AV16,0)</f>
        <v/>
      </c>
      <c r="BJ16">
        <f>IFERROR(BH16*Z16/1000,0)</f>
        <v/>
      </c>
      <c r="BK16">
        <f>BJ16*1.06</f>
        <v/>
      </c>
    </row>
    <row r="17" ht="11.65" customFormat="1" customHeight="1" s="12">
      <c r="A17" t="inlineStr">
        <is>
          <t>Lumber</t>
        </is>
      </c>
      <c r="B17" t="n">
        <v>94</v>
      </c>
      <c r="R17" t="n">
        <v>94</v>
      </c>
      <c r="S17" t="n">
        <v>2</v>
      </c>
      <c r="U17" t="n">
        <v>6</v>
      </c>
      <c r="V17" t="n">
        <v>12</v>
      </c>
      <c r="W17" t="inlineStr">
        <is>
          <t>SYP #2</t>
        </is>
      </c>
      <c r="Z17" t="n">
        <v>435</v>
      </c>
      <c r="AA17">
        <f>(B17*S17*U17*V17/12)*Z17/1000</f>
        <v/>
      </c>
      <c r="AV17">
        <f>SUM(AD17:BP17)</f>
        <v/>
      </c>
      <c r="AW17">
        <f>AV17*V17</f>
        <v/>
      </c>
      <c r="AX17">
        <f>AV17*S17*U17*V17/12</f>
        <v/>
      </c>
      <c r="AY17">
        <f>AX17*Z17/1000</f>
        <v/>
      </c>
      <c r="AZ17">
        <f>AY17*1.06</f>
        <v/>
      </c>
      <c r="BA17">
        <f>IFERROR(AY17/AA17,0)</f>
        <v/>
      </c>
      <c r="BE17">
        <f>IF(BB17&lt;&gt;"",BB17*BD17,0)</f>
        <v/>
      </c>
      <c r="BF17">
        <f>AV17-BE17</f>
        <v/>
      </c>
      <c r="BG17">
        <f>BF17*V17</f>
        <v/>
      </c>
      <c r="BH17">
        <f>(BF17*S17*U17*V17)/12</f>
        <v/>
      </c>
      <c r="BI17">
        <f>IFERROR(BH17/AV17,0)</f>
        <v/>
      </c>
      <c r="BJ17">
        <f>IFERROR(BH17*Z17/1000,0)</f>
        <v/>
      </c>
      <c r="BK17">
        <f>BJ17*1.06</f>
        <v/>
      </c>
    </row>
    <row r="18" ht="11.65" customFormat="1" customHeight="1" s="12">
      <c r="A18" t="inlineStr">
        <is>
          <t>Lumber</t>
        </is>
      </c>
      <c r="B18" t="n">
        <v>9177</v>
      </c>
      <c r="R18" t="n">
        <v>9177</v>
      </c>
      <c r="S18" t="n">
        <v>2</v>
      </c>
      <c r="U18" t="n">
        <v>6</v>
      </c>
      <c r="V18" t="n">
        <v>9</v>
      </c>
      <c r="W18" t="inlineStr">
        <is>
          <t>SYP #2 PET 104-5/8</t>
        </is>
      </c>
      <c r="Z18" t="n">
        <v>525</v>
      </c>
      <c r="AA18">
        <f>(B18*S18*U18*V18/12)*Z18/1000</f>
        <v/>
      </c>
      <c r="AV18">
        <f>SUM(AD18:BP18)</f>
        <v/>
      </c>
      <c r="AW18">
        <f>AV18*V18</f>
        <v/>
      </c>
      <c r="AX18">
        <f>AV18*S18*U18*V18/12</f>
        <v/>
      </c>
      <c r="AY18">
        <f>AX18*Z18/1000</f>
        <v/>
      </c>
      <c r="AZ18">
        <f>AY18*1.06</f>
        <v/>
      </c>
      <c r="BA18">
        <f>IFERROR(AY18/AA18,0)</f>
        <v/>
      </c>
      <c r="BE18">
        <f>IF(BB18&lt;&gt;"",BB18*BD18,0)</f>
        <v/>
      </c>
      <c r="BF18">
        <f>AV18-BE18</f>
        <v/>
      </c>
      <c r="BG18">
        <f>BF18*V18</f>
        <v/>
      </c>
      <c r="BH18">
        <f>(BF18*S18*U18*V18)/12</f>
        <v/>
      </c>
      <c r="BI18">
        <f>IFERROR(BH18/AV18,0)</f>
        <v/>
      </c>
      <c r="BJ18">
        <f>IFERROR(BH18*Z18/1000,0)</f>
        <v/>
      </c>
      <c r="BK18">
        <f>BJ18*1.06</f>
        <v/>
      </c>
    </row>
    <row r="19" ht="11.65" customFormat="1" customHeight="1" s="12">
      <c r="A19" t="inlineStr">
        <is>
          <t>Lumber</t>
        </is>
      </c>
      <c r="B19" t="n">
        <v>717</v>
      </c>
      <c r="R19" t="n">
        <v>717</v>
      </c>
      <c r="S19" t="n">
        <v>2</v>
      </c>
      <c r="U19" t="n">
        <v>6</v>
      </c>
      <c r="V19" t="n">
        <v>12</v>
      </c>
      <c r="W19" t="inlineStr">
        <is>
          <t>SYP #2</t>
        </is>
      </c>
      <c r="Z19" t="n">
        <v>435</v>
      </c>
      <c r="AA19">
        <f>(B19*S19*U19*V19/12)*Z19/1000</f>
        <v/>
      </c>
      <c r="AV19">
        <f>SUM(AD19:BP19)</f>
        <v/>
      </c>
      <c r="AW19">
        <f>AV19*V19</f>
        <v/>
      </c>
      <c r="AX19">
        <f>AV19*S19*U19*V19/12</f>
        <v/>
      </c>
      <c r="AY19">
        <f>AX19*Z19/1000</f>
        <v/>
      </c>
      <c r="AZ19">
        <f>AY19*1.06</f>
        <v/>
      </c>
      <c r="BA19">
        <f>IFERROR(AY19/AA19,0)</f>
        <v/>
      </c>
      <c r="BE19">
        <f>IF(BB19&lt;&gt;"",BB19*BD19,0)</f>
        <v/>
      </c>
      <c r="BF19">
        <f>AV19-BE19</f>
        <v/>
      </c>
      <c r="BG19">
        <f>BF19*V19</f>
        <v/>
      </c>
      <c r="BH19">
        <f>(BF19*S19*U19*V19)/12</f>
        <v/>
      </c>
      <c r="BI19">
        <f>IFERROR(BH19/AV19,0)</f>
        <v/>
      </c>
      <c r="BJ19">
        <f>IFERROR(BH19*Z19/1000,0)</f>
        <v/>
      </c>
      <c r="BK19">
        <f>BJ19*1.06</f>
        <v/>
      </c>
    </row>
    <row r="20" ht="11.65" customFormat="1" customHeight="1" s="12">
      <c r="A20" t="inlineStr">
        <is>
          <t>Lumber</t>
        </is>
      </c>
      <c r="B20" t="n">
        <v>231</v>
      </c>
      <c r="R20" t="n">
        <v>231</v>
      </c>
      <c r="S20" t="n">
        <v>2</v>
      </c>
      <c r="U20" t="n">
        <v>6</v>
      </c>
      <c r="V20" t="n">
        <v>14</v>
      </c>
      <c r="W20" t="inlineStr">
        <is>
          <t>SYP #2</t>
        </is>
      </c>
      <c r="Z20" t="n">
        <v>435</v>
      </c>
      <c r="AA20">
        <f>(B20*S20*U20*V20/12)*Z20/1000</f>
        <v/>
      </c>
      <c r="AV20">
        <f>SUM(AD20:BP20)</f>
        <v/>
      </c>
      <c r="AW20">
        <f>AV20*V20</f>
        <v/>
      </c>
      <c r="AX20">
        <f>AV20*S20*U20*V20/12</f>
        <v/>
      </c>
      <c r="AY20">
        <f>AX20*Z20/1000</f>
        <v/>
      </c>
      <c r="AZ20">
        <f>AY20*1.06</f>
        <v/>
      </c>
      <c r="BA20">
        <f>IFERROR(AY20/AA20,0)</f>
        <v/>
      </c>
      <c r="BE20">
        <f>IF(BB20&lt;&gt;"",BB20*BD20,0)</f>
        <v/>
      </c>
      <c r="BF20">
        <f>AV20-BE20</f>
        <v/>
      </c>
      <c r="BG20">
        <f>BF20*V20</f>
        <v/>
      </c>
      <c r="BH20">
        <f>(BF20*S20*U20*V20)/12</f>
        <v/>
      </c>
      <c r="BI20">
        <f>IFERROR(BH20/AV20,0)</f>
        <v/>
      </c>
      <c r="BJ20">
        <f>IFERROR(BH20*Z20/1000,0)</f>
        <v/>
      </c>
      <c r="BK20">
        <f>BJ20*1.06</f>
        <v/>
      </c>
    </row>
    <row r="21" ht="23.25" customFormat="1" customHeight="1" s="12">
      <c r="A21" t="inlineStr">
        <is>
          <t>Lumber</t>
        </is>
      </c>
      <c r="B21" t="n">
        <v>404</v>
      </c>
      <c r="R21" t="n">
        <v>404</v>
      </c>
      <c r="S21" t="n">
        <v>2</v>
      </c>
      <c r="U21" t="n">
        <v>6</v>
      </c>
      <c r="V21" t="n">
        <v>16</v>
      </c>
      <c r="W21" t="inlineStr">
        <is>
          <t>SYP #2</t>
        </is>
      </c>
      <c r="Z21" t="n">
        <v>435</v>
      </c>
      <c r="AA21">
        <f>(B21*S21*U21*V21/12)*Z21/1000</f>
        <v/>
      </c>
      <c r="AV21">
        <f>SUM(AD21:BP21)</f>
        <v/>
      </c>
      <c r="AW21">
        <f>AV21*V21</f>
        <v/>
      </c>
      <c r="AX21">
        <f>AV21*S21*U21*V21/12</f>
        <v/>
      </c>
      <c r="AY21">
        <f>AX21*Z21/1000</f>
        <v/>
      </c>
      <c r="AZ21">
        <f>AY21*1.06</f>
        <v/>
      </c>
      <c r="BA21">
        <f>IFERROR(AY21/AA21,0)</f>
        <v/>
      </c>
      <c r="BE21">
        <f>IF(BB21&lt;&gt;"",BB21*BD21,0)</f>
        <v/>
      </c>
      <c r="BF21">
        <f>AV21-BE21</f>
        <v/>
      </c>
      <c r="BG21">
        <f>BF21*V21</f>
        <v/>
      </c>
      <c r="BH21">
        <f>(BF21*S21*U21*V21)/12</f>
        <v/>
      </c>
      <c r="BI21">
        <f>IFERROR(BH21/AV21,0)</f>
        <v/>
      </c>
      <c r="BJ21">
        <f>IFERROR(BH21*Z21/1000,0)</f>
        <v/>
      </c>
      <c r="BK21">
        <f>BJ21*1.06</f>
        <v/>
      </c>
    </row>
    <row r="22" ht="11.65" customFormat="1" customHeight="1" s="12">
      <c r="A22" t="inlineStr">
        <is>
          <t>Lumber</t>
        </is>
      </c>
      <c r="B22" t="n">
        <v>9078</v>
      </c>
      <c r="R22" t="n">
        <v>9078</v>
      </c>
      <c r="S22" t="n">
        <v>2</v>
      </c>
      <c r="U22" t="n">
        <v>8</v>
      </c>
      <c r="V22" t="n">
        <v>1</v>
      </c>
      <c r="W22" t="inlineStr">
        <is>
          <t>SYP #2</t>
        </is>
      </c>
      <c r="Z22" t="n">
        <v>485</v>
      </c>
      <c r="AA22">
        <f>(B22*S22*U22*V22/12)*Z22/1000</f>
        <v/>
      </c>
      <c r="AV22">
        <f>SUM(AD22:BP22)</f>
        <v/>
      </c>
      <c r="AW22">
        <f>AV22*V22</f>
        <v/>
      </c>
      <c r="AX22">
        <f>AV22*S22*U22*V22/12</f>
        <v/>
      </c>
      <c r="AY22">
        <f>AX22*Z22/1000</f>
        <v/>
      </c>
      <c r="AZ22">
        <f>AY22*1.06</f>
        <v/>
      </c>
      <c r="BA22">
        <f>IFERROR(AY22/AA22,0)</f>
        <v/>
      </c>
      <c r="BE22">
        <f>IF(BB22&lt;&gt;"",BB22*BD22,0)</f>
        <v/>
      </c>
      <c r="BF22">
        <f>AV22-BE22</f>
        <v/>
      </c>
      <c r="BG22">
        <f>BF22*V22</f>
        <v/>
      </c>
      <c r="BH22">
        <f>(BF22*S22*U22*V22)/12</f>
        <v/>
      </c>
      <c r="BI22">
        <f>IFERROR(BH22/AV22,0)</f>
        <v/>
      </c>
      <c r="BJ22">
        <f>IFERROR(BH22*Z22/1000,0)</f>
        <v/>
      </c>
      <c r="BK22">
        <f>BJ22*1.06</f>
        <v/>
      </c>
    </row>
    <row r="23" ht="11.65" customFormat="1" customHeight="1" s="12">
      <c r="A23" t="inlineStr">
        <is>
          <t>Lumber</t>
        </is>
      </c>
      <c r="B23" t="n">
        <v>982</v>
      </c>
      <c r="R23" t="n">
        <v>982</v>
      </c>
      <c r="S23" t="n">
        <v>2</v>
      </c>
      <c r="U23" t="n">
        <v>8</v>
      </c>
      <c r="V23" t="n">
        <v>9</v>
      </c>
      <c r="W23" t="inlineStr">
        <is>
          <t>SYP #2 PET 104-5/8</t>
        </is>
      </c>
      <c r="Z23" t="n">
        <v>485</v>
      </c>
      <c r="AA23">
        <f>(B23*S23*U23*V23/12)*Z23/1000</f>
        <v/>
      </c>
      <c r="AV23">
        <f>SUM(AD23:BP23)</f>
        <v/>
      </c>
      <c r="AW23">
        <f>AV23*V23</f>
        <v/>
      </c>
      <c r="AX23">
        <f>AV23*S23*U23*V23/12</f>
        <v/>
      </c>
      <c r="AY23">
        <f>AX23*Z23/1000</f>
        <v/>
      </c>
      <c r="AZ23">
        <f>AY23*1.06</f>
        <v/>
      </c>
      <c r="BA23">
        <f>IFERROR(AY23/AA23,0)</f>
        <v/>
      </c>
      <c r="BE23">
        <f>IF(BB23&lt;&gt;"",BB23*BD23,0)</f>
        <v/>
      </c>
      <c r="BF23">
        <f>AV23-BE23</f>
        <v/>
      </c>
      <c r="BG23">
        <f>BF23*V23</f>
        <v/>
      </c>
      <c r="BH23">
        <f>(BF23*S23*U23*V23)/12</f>
        <v/>
      </c>
      <c r="BI23">
        <f>IFERROR(BH23/AV23,0)</f>
        <v/>
      </c>
      <c r="BJ23">
        <f>IFERROR(BH23*Z23/1000,0)</f>
        <v/>
      </c>
      <c r="BK23">
        <f>BJ23*1.06</f>
        <v/>
      </c>
    </row>
    <row r="24" ht="11.65" customFormat="1" customHeight="1" s="12">
      <c r="A24" t="inlineStr">
        <is>
          <t>Lumber</t>
        </is>
      </c>
      <c r="B24" t="n">
        <v>6122</v>
      </c>
      <c r="R24" t="n">
        <v>6122</v>
      </c>
      <c r="S24" t="n">
        <v>2</v>
      </c>
      <c r="U24" t="n">
        <v>10</v>
      </c>
      <c r="V24" t="n">
        <v>1</v>
      </c>
      <c r="W24" t="inlineStr">
        <is>
          <t>SYP #2</t>
        </is>
      </c>
      <c r="Z24" t="n">
        <v>485</v>
      </c>
      <c r="AA24">
        <f>(B24*S24*U24*V24/12)*Z24/1000</f>
        <v/>
      </c>
      <c r="AV24">
        <f>SUM(AD24:BP24)</f>
        <v/>
      </c>
      <c r="AW24">
        <f>AV24*V24</f>
        <v/>
      </c>
      <c r="AX24">
        <f>AV24*S24*U24*V24/12</f>
        <v/>
      </c>
      <c r="AY24">
        <f>AX24*Z24/1000</f>
        <v/>
      </c>
      <c r="AZ24">
        <f>AY24*1.06</f>
        <v/>
      </c>
      <c r="BA24">
        <f>IFERROR(AY24/AA24,0)</f>
        <v/>
      </c>
      <c r="BE24">
        <f>IF(BB24&lt;&gt;"",BB24*BD24,0)</f>
        <v/>
      </c>
      <c r="BF24">
        <f>AV24-BE24</f>
        <v/>
      </c>
      <c r="BG24">
        <f>BF24*V24</f>
        <v/>
      </c>
      <c r="BH24">
        <f>(BF24*S24*U24*V24)/12</f>
        <v/>
      </c>
      <c r="BI24">
        <f>IFERROR(BH24/AV24,0)</f>
        <v/>
      </c>
      <c r="BJ24">
        <f>IFERROR(BH24*Z24/1000,0)</f>
        <v/>
      </c>
      <c r="BK24">
        <f>BJ24*1.06</f>
        <v/>
      </c>
    </row>
    <row r="25" ht="11.65" customFormat="1" customHeight="1" s="12">
      <c r="A25" t="inlineStr">
        <is>
          <t>Lumber</t>
        </is>
      </c>
      <c r="B25" t="n">
        <v>161</v>
      </c>
      <c r="R25" t="n">
        <v>161</v>
      </c>
      <c r="S25" t="n">
        <v>2</v>
      </c>
      <c r="U25" t="n">
        <v>10</v>
      </c>
      <c r="V25" t="n">
        <v>10</v>
      </c>
      <c r="W25" t="inlineStr">
        <is>
          <t>SYP #2</t>
        </is>
      </c>
      <c r="Z25" t="n">
        <v>485</v>
      </c>
      <c r="AA25">
        <f>(B25*S25*U25*V25/12)*Z25/1000</f>
        <v/>
      </c>
      <c r="AV25">
        <f>SUM(AD25:BP25)</f>
        <v/>
      </c>
      <c r="AW25">
        <f>AV25*V25</f>
        <v/>
      </c>
      <c r="AX25">
        <f>AV25*S25*U25*V25/12</f>
        <v/>
      </c>
      <c r="AY25">
        <f>AX25*Z25/1000</f>
        <v/>
      </c>
      <c r="AZ25">
        <f>AY25*1.06</f>
        <v/>
      </c>
      <c r="BA25">
        <f>IFERROR(AY25/AA25,0)</f>
        <v/>
      </c>
      <c r="BE25">
        <f>IF(BB25&lt;&gt;"",BB25*BD25,0)</f>
        <v/>
      </c>
      <c r="BF25">
        <f>AV25-BE25</f>
        <v/>
      </c>
      <c r="BG25">
        <f>BF25*V25</f>
        <v/>
      </c>
      <c r="BH25">
        <f>(BF25*S25*U25*V25)/12</f>
        <v/>
      </c>
      <c r="BI25">
        <f>IFERROR(BH25/AV25,0)</f>
        <v/>
      </c>
      <c r="BJ25">
        <f>IFERROR(BH25*Z25/1000,0)</f>
        <v/>
      </c>
      <c r="BK25">
        <f>BJ25*1.06</f>
        <v/>
      </c>
    </row>
    <row r="26" ht="11.65" customFormat="1" customHeight="1" s="12">
      <c r="A26" t="inlineStr">
        <is>
          <t>Lumber</t>
        </is>
      </c>
      <c r="B26" t="n">
        <v>128</v>
      </c>
      <c r="R26" t="n">
        <v>128</v>
      </c>
      <c r="S26" t="n">
        <v>2</v>
      </c>
      <c r="U26" t="n">
        <v>10</v>
      </c>
      <c r="V26" t="n">
        <v>12</v>
      </c>
      <c r="W26" t="inlineStr">
        <is>
          <t>SYP #2</t>
        </is>
      </c>
      <c r="Z26" t="n">
        <v>485</v>
      </c>
      <c r="AA26">
        <f>(B26*S26*U26*V26/12)*Z26/1000</f>
        <v/>
      </c>
      <c r="AV26">
        <f>SUM(AD26:BP26)</f>
        <v/>
      </c>
      <c r="AW26">
        <f>AV26*V26</f>
        <v/>
      </c>
      <c r="AX26">
        <f>AV26*S26*U26*V26/12</f>
        <v/>
      </c>
      <c r="AY26">
        <f>AX26*Z26/1000</f>
        <v/>
      </c>
      <c r="AZ26">
        <f>AY26*1.06</f>
        <v/>
      </c>
      <c r="BA26">
        <f>IFERROR(AY26/AA26,0)</f>
        <v/>
      </c>
      <c r="BE26">
        <f>IF(BB26&lt;&gt;"",BB26*BD26,0)</f>
        <v/>
      </c>
      <c r="BF26">
        <f>AV26-BE26</f>
        <v/>
      </c>
      <c r="BG26">
        <f>BF26*V26</f>
        <v/>
      </c>
      <c r="BH26">
        <f>(BF26*S26*U26*V26)/12</f>
        <v/>
      </c>
      <c r="BI26">
        <f>IFERROR(BH26/AV26,0)</f>
        <v/>
      </c>
      <c r="BJ26">
        <f>IFERROR(BH26*Z26/1000,0)</f>
        <v/>
      </c>
      <c r="BK26">
        <f>BJ26*1.06</f>
        <v/>
      </c>
    </row>
    <row r="27" ht="11.65" customFormat="1" customHeight="1" s="12">
      <c r="A27" t="inlineStr">
        <is>
          <t>Lumber</t>
        </is>
      </c>
      <c r="B27" t="n">
        <v>47</v>
      </c>
      <c r="R27" t="n">
        <v>47</v>
      </c>
      <c r="S27" t="n">
        <v>2</v>
      </c>
      <c r="U27" t="n">
        <v>10</v>
      </c>
      <c r="V27" t="n">
        <v>10</v>
      </c>
      <c r="W27" t="inlineStr">
        <is>
          <t>SYP #2</t>
        </is>
      </c>
      <c r="Z27" t="n">
        <v>485</v>
      </c>
      <c r="AA27">
        <f>(B27*S27*U27*V27/12)*Z27/1000</f>
        <v/>
      </c>
      <c r="AV27">
        <f>SUM(AD27:BP27)</f>
        <v/>
      </c>
      <c r="AW27">
        <f>AV27*V27</f>
        <v/>
      </c>
      <c r="AX27">
        <f>AV27*S27*U27*V27/12</f>
        <v/>
      </c>
      <c r="AY27">
        <f>AX27*Z27/1000</f>
        <v/>
      </c>
      <c r="AZ27">
        <f>AY27*1.06</f>
        <v/>
      </c>
      <c r="BA27">
        <f>IFERROR(AY27/AA27,0)</f>
        <v/>
      </c>
      <c r="BE27">
        <f>IF(BB27&lt;&gt;"",BB27*BD27,0)</f>
        <v/>
      </c>
      <c r="BF27">
        <f>AV27-BE27</f>
        <v/>
      </c>
      <c r="BG27">
        <f>BF27*V27</f>
        <v/>
      </c>
      <c r="BH27">
        <f>(BF27*S27*U27*V27)/12</f>
        <v/>
      </c>
      <c r="BI27">
        <f>IFERROR(BH27/AV27,0)</f>
        <v/>
      </c>
      <c r="BJ27">
        <f>IFERROR(BH27*Z27/1000,0)</f>
        <v/>
      </c>
      <c r="BK27">
        <f>BJ27*1.06</f>
        <v/>
      </c>
    </row>
    <row r="28" ht="11.65" customFormat="1" customHeight="1" s="12">
      <c r="A28" t="inlineStr">
        <is>
          <t>Lumber</t>
        </is>
      </c>
      <c r="B28" t="n">
        <v>60</v>
      </c>
      <c r="R28" t="n">
        <v>60</v>
      </c>
      <c r="S28" t="n">
        <v>2</v>
      </c>
      <c r="U28" t="n">
        <v>10</v>
      </c>
      <c r="V28" t="n">
        <v>12</v>
      </c>
      <c r="W28" t="inlineStr">
        <is>
          <t>SYP #2</t>
        </is>
      </c>
      <c r="Z28" t="n">
        <v>485</v>
      </c>
      <c r="AA28">
        <f>(B28*S28*U28*V28/12)*Z28/1000</f>
        <v/>
      </c>
      <c r="AV28">
        <f>SUM(AD28:BP28)</f>
        <v/>
      </c>
      <c r="AW28">
        <f>AV28*V28</f>
        <v/>
      </c>
      <c r="AX28">
        <f>AV28*S28*U28*V28/12</f>
        <v/>
      </c>
      <c r="AY28">
        <f>AX28*Z28/1000</f>
        <v/>
      </c>
      <c r="AZ28">
        <f>AY28*1.06</f>
        <v/>
      </c>
      <c r="BA28">
        <f>IFERROR(AY28/AA28,0)</f>
        <v/>
      </c>
      <c r="BE28">
        <f>IF(BB28&lt;&gt;"",BB28*BD28,0)</f>
        <v/>
      </c>
      <c r="BF28">
        <f>AV28-BE28</f>
        <v/>
      </c>
      <c r="BG28">
        <f>BF28*V28</f>
        <v/>
      </c>
      <c r="BH28">
        <f>(BF28*S28*U28*V28)/12</f>
        <v/>
      </c>
      <c r="BI28">
        <f>IFERROR(BH28/AV28,0)</f>
        <v/>
      </c>
      <c r="BJ28">
        <f>IFERROR(BH28*Z28/1000,0)</f>
        <v/>
      </c>
      <c r="BK28">
        <f>BJ28*1.06</f>
        <v/>
      </c>
    </row>
    <row r="29" ht="11.65" customFormat="1" customHeight="1" s="12">
      <c r="A29" t="inlineStr">
        <is>
          <t>Lumber</t>
        </is>
      </c>
      <c r="B29" t="n">
        <v>26</v>
      </c>
      <c r="R29" t="n">
        <v>26</v>
      </c>
      <c r="S29" t="n">
        <v>2</v>
      </c>
      <c r="U29" t="n">
        <v>10</v>
      </c>
      <c r="V29" t="n">
        <v>14</v>
      </c>
      <c r="W29" t="inlineStr">
        <is>
          <t>SYP #2</t>
        </is>
      </c>
      <c r="Z29" t="n">
        <v>485</v>
      </c>
      <c r="AA29">
        <f>(B29*S29*U29*V29/12)*Z29/1000</f>
        <v/>
      </c>
      <c r="AV29">
        <f>SUM(AD29:BP29)</f>
        <v/>
      </c>
      <c r="AW29">
        <f>AV29*V29</f>
        <v/>
      </c>
      <c r="AX29">
        <f>AV29*S29*U29*V29/12</f>
        <v/>
      </c>
      <c r="AY29">
        <f>AX29*Z29/1000</f>
        <v/>
      </c>
      <c r="AZ29">
        <f>AY29*1.06</f>
        <v/>
      </c>
      <c r="BA29">
        <f>IFERROR(AY29/AA29,0)</f>
        <v/>
      </c>
      <c r="BE29">
        <f>IF(BB29&lt;&gt;"",BB29*BD29,0)</f>
        <v/>
      </c>
      <c r="BF29">
        <f>AV29-BE29</f>
        <v/>
      </c>
      <c r="BG29">
        <f>BF29*V29</f>
        <v/>
      </c>
      <c r="BH29">
        <f>(BF29*S29*U29*V29)/12</f>
        <v/>
      </c>
      <c r="BI29">
        <f>IFERROR(BH29/AV29,0)</f>
        <v/>
      </c>
      <c r="BJ29">
        <f>IFERROR(BH29*Z29/1000,0)</f>
        <v/>
      </c>
      <c r="BK29">
        <f>BJ29*1.06</f>
        <v/>
      </c>
    </row>
    <row r="30" ht="11.65" customFormat="1" customHeight="1" s="12">
      <c r="A30" t="inlineStr">
        <is>
          <t>Lumber</t>
        </is>
      </c>
      <c r="B30" t="n">
        <v>693</v>
      </c>
      <c r="R30" t="n">
        <v>693</v>
      </c>
      <c r="S30" t="n">
        <v>2</v>
      </c>
      <c r="U30" t="n">
        <v>12</v>
      </c>
      <c r="V30" t="n">
        <v>1</v>
      </c>
      <c r="W30" t="inlineStr">
        <is>
          <t>SYP #2</t>
        </is>
      </c>
      <c r="Z30" t="n">
        <v>535</v>
      </c>
      <c r="AA30">
        <f>(B30*S30*U30*V30/12)*Z30/1000</f>
        <v/>
      </c>
      <c r="AV30">
        <f>SUM(AD30:BP30)</f>
        <v/>
      </c>
      <c r="AW30">
        <f>AV30*V30</f>
        <v/>
      </c>
      <c r="AX30">
        <f>AV30*S30*U30*V30/12</f>
        <v/>
      </c>
      <c r="AY30">
        <f>AX30*Z30/1000</f>
        <v/>
      </c>
      <c r="AZ30">
        <f>AY30*1.06</f>
        <v/>
      </c>
      <c r="BA30">
        <f>IFERROR(AY30/AA30,0)</f>
        <v/>
      </c>
      <c r="BE30">
        <f>IF(BB30&lt;&gt;"",BB30*BD30,0)</f>
        <v/>
      </c>
      <c r="BF30">
        <f>AV30-BE30</f>
        <v/>
      </c>
      <c r="BG30">
        <f>BF30*V30</f>
        <v/>
      </c>
      <c r="BH30">
        <f>(BF30*S30*U30*V30)/12</f>
        <v/>
      </c>
      <c r="BI30">
        <f>IFERROR(BH30/AV30,0)</f>
        <v/>
      </c>
      <c r="BJ30">
        <f>IFERROR(BH30*Z30/1000,0)</f>
        <v/>
      </c>
      <c r="BK30">
        <f>BJ30*1.06</f>
        <v/>
      </c>
    </row>
    <row r="31" ht="23.25" customFormat="1" customHeight="1" s="12">
      <c r="A31" t="inlineStr">
        <is>
          <t>Lumber</t>
        </is>
      </c>
      <c r="B31" t="n">
        <v>18</v>
      </c>
      <c r="R31" t="n">
        <v>18</v>
      </c>
      <c r="S31" t="n">
        <v>2</v>
      </c>
      <c r="U31" t="n">
        <v>12</v>
      </c>
      <c r="V31" t="n">
        <v>1</v>
      </c>
      <c r="W31" t="inlineStr">
        <is>
          <t>SYP #2</t>
        </is>
      </c>
      <c r="Z31" t="n">
        <v>535</v>
      </c>
      <c r="AA31">
        <f>(B31*S31*U31*V31/12)*Z31/1000</f>
        <v/>
      </c>
      <c r="AV31">
        <f>SUM(AD31:BP31)</f>
        <v/>
      </c>
      <c r="AW31">
        <f>AV31*V31</f>
        <v/>
      </c>
      <c r="AX31">
        <f>AV31*S31*U31*V31/12</f>
        <v/>
      </c>
      <c r="AY31">
        <f>AX31*Z31/1000</f>
        <v/>
      </c>
      <c r="AZ31">
        <f>AY31*1.06</f>
        <v/>
      </c>
      <c r="BA31">
        <f>IFERROR(AY31/AA31,0)</f>
        <v/>
      </c>
      <c r="BE31">
        <f>IF(BB31&lt;&gt;"",BB31*BD31,0)</f>
        <v/>
      </c>
      <c r="BF31">
        <f>AV31-BE31</f>
        <v/>
      </c>
      <c r="BG31">
        <f>BF31*V31</f>
        <v/>
      </c>
      <c r="BH31">
        <f>(BF31*S31*U31*V31)/12</f>
        <v/>
      </c>
      <c r="BI31">
        <f>IFERROR(BH31/AV31,0)</f>
        <v/>
      </c>
      <c r="BJ31">
        <f>IFERROR(BH31*Z31/1000,0)</f>
        <v/>
      </c>
      <c r="BK31">
        <f>BJ31*1.06</f>
        <v/>
      </c>
    </row>
    <row r="32" ht="11.65" customFormat="1" customHeight="1" s="12">
      <c r="A32" t="inlineStr">
        <is>
          <t>Lumber</t>
        </is>
      </c>
      <c r="B32" t="n">
        <v>115</v>
      </c>
      <c r="R32" t="n">
        <v>115</v>
      </c>
      <c r="S32" t="n">
        <v>2</v>
      </c>
      <c r="U32" t="n">
        <v>12</v>
      </c>
      <c r="V32" t="n">
        <v>10</v>
      </c>
      <c r="W32" t="inlineStr">
        <is>
          <t>SYP #2</t>
        </is>
      </c>
      <c r="Z32" t="n">
        <v>535</v>
      </c>
      <c r="AA32">
        <f>(B32*S32*U32*V32/12)*Z32/1000</f>
        <v/>
      </c>
      <c r="AV32">
        <f>SUM(AD32:BP32)</f>
        <v/>
      </c>
      <c r="AW32">
        <f>AV32*V32</f>
        <v/>
      </c>
      <c r="AX32">
        <f>AV32*S32*U32*V32/12</f>
        <v/>
      </c>
      <c r="AY32">
        <f>AX32*Z32/1000</f>
        <v/>
      </c>
      <c r="AZ32">
        <f>AY32*1.06</f>
        <v/>
      </c>
      <c r="BA32">
        <f>IFERROR(AY32/AA32,0)</f>
        <v/>
      </c>
      <c r="BE32">
        <f>IF(BB32&lt;&gt;"",BB32*BD32,0)</f>
        <v/>
      </c>
      <c r="BF32">
        <f>AV32-BE32</f>
        <v/>
      </c>
      <c r="BG32">
        <f>BF32*V32</f>
        <v/>
      </c>
      <c r="BH32">
        <f>(BF32*S32*U32*V32)/12</f>
        <v/>
      </c>
      <c r="BI32">
        <f>IFERROR(BH32/AV32,0)</f>
        <v/>
      </c>
      <c r="BJ32">
        <f>IFERROR(BH32*Z32/1000,0)</f>
        <v/>
      </c>
      <c r="BK32">
        <f>BJ32*1.06</f>
        <v/>
      </c>
    </row>
    <row r="33" ht="11.65" customFormat="1" customHeight="1" s="24">
      <c r="A33" t="inlineStr">
        <is>
          <t>Lumber</t>
        </is>
      </c>
      <c r="B33" t="n">
        <v>131</v>
      </c>
      <c r="R33" t="n">
        <v>131</v>
      </c>
      <c r="S33" t="n">
        <v>2</v>
      </c>
      <c r="U33" t="n">
        <v>12</v>
      </c>
      <c r="V33" t="n">
        <v>12</v>
      </c>
      <c r="W33" t="inlineStr">
        <is>
          <t>SYP #2</t>
        </is>
      </c>
      <c r="Z33" t="n">
        <v>535</v>
      </c>
      <c r="AA33">
        <f>(B33*S33*U33*V33/12)*Z33/1000</f>
        <v/>
      </c>
      <c r="AV33">
        <f>SUM(AD33:BP33)</f>
        <v/>
      </c>
      <c r="AW33">
        <f>AV33*V33</f>
        <v/>
      </c>
      <c r="AX33">
        <f>AV33*S33*U33*V33/12</f>
        <v/>
      </c>
      <c r="AY33">
        <f>AX33*Z33/1000</f>
        <v/>
      </c>
      <c r="AZ33">
        <f>AY33*1.06</f>
        <v/>
      </c>
      <c r="BA33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t="inlineStr">
        <is>
          <t>Lumber</t>
        </is>
      </c>
      <c r="B34" t="n">
        <v>26</v>
      </c>
      <c r="R34" t="n">
        <v>26</v>
      </c>
      <c r="S34" t="n">
        <v>2</v>
      </c>
      <c r="U34" t="n">
        <v>12</v>
      </c>
      <c r="V34" t="n">
        <v>14</v>
      </c>
      <c r="W34" t="inlineStr">
        <is>
          <t>SYP #2</t>
        </is>
      </c>
      <c r="Z34" t="n">
        <v>535</v>
      </c>
      <c r="AA34">
        <f>(B34*S34*U34*V34/12)*Z34/1000</f>
        <v/>
      </c>
      <c r="AV34">
        <f>SUM(AD34:BP34)</f>
        <v/>
      </c>
      <c r="AW34">
        <f>AV34*V34</f>
        <v/>
      </c>
      <c r="AX34">
        <f>AV34*S34*U34*V34/12</f>
        <v/>
      </c>
      <c r="AY34">
        <f>AX34*Z34/1000</f>
        <v/>
      </c>
      <c r="AZ34">
        <f>AY34*1.06</f>
        <v/>
      </c>
      <c r="BA34">
        <f>IFERROR(AY34/AA34,0)</f>
        <v/>
      </c>
      <c r="BE34">
        <f>IF(BB34&lt;&gt;"",BB34*BD34,0)</f>
        <v/>
      </c>
      <c r="BF34">
        <f>AV34-BE34</f>
        <v/>
      </c>
      <c r="BG34">
        <f>BF34*V34</f>
        <v/>
      </c>
      <c r="BH34">
        <f>(BF34*S34*U34*V34)/12</f>
        <v/>
      </c>
      <c r="BI34">
        <f>IFERROR(BH34/AV34,0)</f>
        <v/>
      </c>
      <c r="BJ34">
        <f>IFERROR(BH34*Z34/1000,0)</f>
        <v/>
      </c>
      <c r="BK34">
        <f>BJ34*1.06</f>
        <v/>
      </c>
    </row>
    <row r="35" ht="11.65" customFormat="1" customHeight="1" s="12">
      <c r="A35" t="inlineStr">
        <is>
          <t>Lumber</t>
        </is>
      </c>
      <c r="B35" t="n">
        <v>236</v>
      </c>
      <c r="R35" t="n">
        <v>236</v>
      </c>
      <c r="Z35" t="n">
        <v>995</v>
      </c>
      <c r="AA35">
        <f>(B35*S35*U35*V35/12)*Z35/1000</f>
        <v/>
      </c>
      <c r="AV35">
        <f>SUM(AD35:BP35)</f>
        <v/>
      </c>
      <c r="AW35">
        <f>AV35*V35</f>
        <v/>
      </c>
      <c r="AX35">
        <f>AV35*S35*U35*V35/12</f>
        <v/>
      </c>
      <c r="AY35">
        <f>AX35*Z35/1000</f>
        <v/>
      </c>
      <c r="AZ35">
        <f>AY35*1.06</f>
        <v/>
      </c>
      <c r="BA35">
        <f>IFERROR(AY35/AA35,0)</f>
        <v/>
      </c>
      <c r="BE35">
        <f>IF(BB35&lt;&gt;"",BB35*BD35,0)</f>
        <v/>
      </c>
      <c r="BF35">
        <f>AV35-BE35</f>
        <v/>
      </c>
      <c r="BG35">
        <f>BF35*V35</f>
        <v/>
      </c>
      <c r="BH35">
        <f>(BF35*S35*U35*V35)/12</f>
        <v/>
      </c>
      <c r="BI35">
        <f>IFERROR(BH35/AV35,0)</f>
        <v/>
      </c>
      <c r="BJ35">
        <f>IFERROR(BH35*Z35/1000,0)</f>
        <v/>
      </c>
      <c r="BK35">
        <f>BJ35*1.06</f>
        <v/>
      </c>
    </row>
    <row r="36" ht="69.75" customFormat="1" customHeight="1" s="12"/>
    <row r="37" ht="11.65" customFormat="1" customHeight="1" s="12"/>
    <row r="38" ht="23.25" customFormat="1" customHeight="1" s="12"/>
    <row r="39" ht="13.15" customFormat="1" customHeight="1" s="152"/>
    <row r="40" ht="34.9" customFormat="1" customHeight="1" s="24"/>
    <row r="41" ht="23.25" customFormat="1" customHeight="1" s="12"/>
    <row r="42" ht="11.65" customFormat="1" customHeight="1" s="12"/>
    <row r="43" ht="34.9" customFormat="1" customHeight="1" s="12"/>
    <row r="44" ht="34.9" customFormat="1" customHeight="1" s="12"/>
    <row r="45" ht="23.25" customFormat="1" customHeight="1" s="24"/>
    <row r="46" ht="13.15" customFormat="1" customHeight="1" s="152"/>
    <row r="47" ht="11.65" customFormat="1" customHeight="1" s="24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1.65" customFormat="1" customHeight="1" s="12"/>
    <row r="54" ht="11.65" customFormat="1" customHeight="1" s="24"/>
    <row r="55" ht="11.65" customFormat="1" customHeight="1" s="12"/>
    <row r="56" ht="11.65" customFormat="1" customHeight="1" s="163"/>
    <row r="57" ht="11.65" customFormat="1" customHeight="1" s="24"/>
    <row r="58" ht="23.25" customFormat="1" customHeight="1" s="12"/>
    <row r="59" ht="11.65" customFormat="1" customHeight="1" s="12"/>
    <row r="60" ht="11.65" customFormat="1" customHeight="1" s="12"/>
    <row r="61" ht="46.5" customFormat="1" customHeight="1" s="12"/>
    <row r="62" ht="11.65" customFormat="1" customHeight="1" s="12"/>
    <row r="63" ht="11.65" customFormat="1" customHeight="1" s="12"/>
    <row r="64" ht="36" customFormat="1" customHeight="1" s="12"/>
    <row r="65" ht="11.65" customFormat="1" customHeight="1" s="12"/>
    <row r="66" ht="11.65" customFormat="1" customHeight="1" s="12"/>
    <row r="67" ht="34.9" customFormat="1" customHeight="1" s="12"/>
    <row r="68" ht="11.65" customFormat="1" customHeight="1" s="12"/>
    <row r="69" ht="11.6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3.15" customFormat="1" customHeight="1" s="12"/>
    <row r="77" ht="11.65" customFormat="1" customHeight="1" s="12"/>
    <row r="78" ht="13.15" customHeight="1"/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Anjireddy Mummadi</dc:creator>
  <dcterms:created xsi:type="dcterms:W3CDTF">2015-06-05T18:17:20Z</dcterms:created>
  <dcterms:modified xsi:type="dcterms:W3CDTF">2026-07-01T10:04:01Z</dcterms:modified>
  <cp:lastModifiedBy>AJ</cp:lastModifiedBy>
</cp:coreProperties>
</file>